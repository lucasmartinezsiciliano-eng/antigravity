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9300" windowHeight="6135" tabRatio="893" firstSheet="0" activeTab="1" autoFilterDateGrouping="1"/>
  </bookViews>
  <sheets>
    <sheet name="FACT EMESES" sheetId="1" state="visible" r:id="rId1"/>
    <sheet name="FACT REBUDES" sheetId="2" state="visible" r:id="rId2"/>
    <sheet name="LIQUIDACIÓ" sheetId="3" state="visible" r:id="rId3"/>
    <sheet name="303 " sheetId="4" state="visible" r:id="rId4"/>
    <sheet name="EXERCICIS" sheetId="5" state="visible" r:id="rId5"/>
  </sheets>
  <externalReferences>
    <externalReference r:id="rId6"/>
  </externalReferences>
  <definedNames>
    <definedName name="clientes">[1]CLIENTES!$A$2:$A$4</definedName>
    <definedName name="proveedores">[1]PROVEEDORES!$A$2:$A$4</definedName>
    <definedName name="provincias">'[1]DATOS FISCALES'!$F$20:$F$72</definedName>
    <definedName name="tipos_iva">'[1]DATOS FISCALES'!$C$13:$C$15</definedName>
    <definedName name="tipos_recargo_equivalencia">'[1]DATOS FISCALES'!$E$13:$E$15</definedName>
    <definedName name="trimestres">'[1]DATOS FISCALES'!$I$20:$I$23</definedName>
    <definedName name="_xlnm.Print_Area" localSheetId="3">'303 '!$A$1:$AP$79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d\-m"/>
    <numFmt numFmtId="165" formatCode="#,##0.00;[Red]\-#,##0.00;0"/>
    <numFmt numFmtId="166" formatCode="#,##0.00_ ;[Red]\-#,##0.00\ "/>
    <numFmt numFmtId="167" formatCode="d\-m;@"/>
    <numFmt numFmtId="168" formatCode="_-* #,##0.00\ _€_-;\-* #,##0.00\ _€_-;_-* &quot;-&quot;??\ _€_-;_-@"/>
  </numFmts>
  <fonts count="59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b val="1"/>
      <i val="1"/>
      <color theme="1"/>
      <sz val="18"/>
    </font>
    <font>
      <name val="Calibri"/>
      <color theme="1"/>
      <sz val="11"/>
    </font>
    <font>
      <name val="Arial"/>
      <b val="1"/>
      <i val="1"/>
      <color theme="1"/>
      <sz val="24"/>
    </font>
    <font>
      <name val="Calibri"/>
      <b val="1"/>
      <color rgb="FFFF0000"/>
      <sz val="28"/>
    </font>
    <font>
      <name val="Arial"/>
      <b val="1"/>
      <color theme="1"/>
      <sz val="10"/>
    </font>
    <font>
      <name val="Calibri"/>
      <color theme="1"/>
      <sz val="11"/>
      <scheme val="minor"/>
    </font>
    <font>
      <name val="Arial"/>
      <i val="1"/>
      <color theme="1"/>
      <sz val="10"/>
    </font>
    <font>
      <name val="Calibri"/>
      <color theme="1"/>
      <sz val="8"/>
    </font>
    <font>
      <name val="Calibri"/>
      <b val="1"/>
      <color theme="1"/>
      <sz val="11"/>
    </font>
    <font>
      <name val="Arial"/>
      <b val="1"/>
      <color theme="1"/>
      <sz val="12"/>
    </font>
    <font>
      <name val="Calibri"/>
      <b val="1"/>
      <color theme="0"/>
      <sz val="18"/>
    </font>
    <font>
      <name val="Calibri"/>
      <sz val="11"/>
    </font>
    <font>
      <name val="Calibri"/>
      <b val="1"/>
      <color theme="0"/>
      <sz val="11"/>
    </font>
    <font>
      <name val="Calibri"/>
      <b val="1"/>
      <i val="1"/>
      <color theme="0"/>
      <sz val="11"/>
    </font>
    <font>
      <name val="Calibri"/>
      <b val="1"/>
      <color theme="1"/>
      <sz val="14"/>
    </font>
    <font>
      <name val="Calibri"/>
      <b val="1"/>
      <color rgb="FFFF0000"/>
      <sz val="18"/>
    </font>
    <font>
      <name val="Calibri"/>
      <b val="1"/>
      <i val="1"/>
      <color rgb="FFFF0000"/>
      <sz val="16"/>
    </font>
    <font>
      <name val="Calibri"/>
      <b val="1"/>
      <i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Arial"/>
      <family val="2"/>
      <i val="1"/>
      <color theme="1"/>
      <sz val="10"/>
    </font>
    <font>
      <name val="Arial"/>
      <family val="2"/>
      <b val="1"/>
      <i val="1"/>
      <color theme="1"/>
      <sz val="18"/>
    </font>
    <font>
      <name val="Arial"/>
      <family val="2"/>
      <b val="1"/>
      <color theme="1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indexed="59"/>
      <sz val="10"/>
    </font>
    <font>
      <name val="Arial"/>
      <family val="2"/>
      <sz val="11"/>
    </font>
    <font>
      <name val="Arial"/>
      <family val="2"/>
      <sz val="10"/>
    </font>
    <font>
      <name val="Courier"/>
      <family val="3"/>
      <b val="1"/>
      <sz val="14"/>
    </font>
    <font>
      <name val="Arial"/>
      <family val="2"/>
      <b val="1"/>
      <sz val="11"/>
    </font>
    <font>
      <name val="Courier"/>
      <family val="3"/>
      <b val="1"/>
      <sz val="11"/>
    </font>
    <font>
      <name val="Arial"/>
      <family val="2"/>
      <sz val="9"/>
    </font>
    <font>
      <name val="Arial"/>
      <family val="2"/>
      <sz val="10.5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b val="1"/>
      <sz val="11"/>
      <u val="single"/>
    </font>
    <font>
      <name val="Arial"/>
      <family val="2"/>
      <color indexed="12"/>
      <sz val="10"/>
      <u val="single"/>
    </font>
    <font>
      <name val="Arial"/>
      <family val="2"/>
      <color indexed="59"/>
      <sz val="10"/>
      <u val="single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0" tint="-0.1499984740745262"/>
      <sz val="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Tahoma"/>
      <family val="2"/>
      <b val="1"/>
      <color indexed="81"/>
      <sz val="9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1F497D"/>
        <bgColor rgb="FF1F497D"/>
      </patternFill>
    </fill>
    <fill>
      <patternFill patternType="solid">
        <fgColor rgb="FFB8CCE4"/>
        <bgColor rgb="FFB8CCE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3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medium">
        <color indexed="55"/>
      </left>
      <right/>
      <top/>
      <bottom/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4">
    <xf numFmtId="0" fontId="13" fillId="0" borderId="21"/>
    <xf numFmtId="0" fontId="7" fillId="0" borderId="21"/>
    <xf numFmtId="0" fontId="33" fillId="0" borderId="21"/>
    <xf numFmtId="0" fontId="47" fillId="0" borderId="21" applyAlignment="1" applyProtection="1">
      <alignment vertical="top"/>
      <protection locked="0" hidden="0"/>
    </xf>
  </cellStyleXfs>
  <cellXfs count="250"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164" fontId="14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0" fontId="14" fillId="2" borderId="4" applyAlignment="1" pivotButton="0" quotePrefix="0" xfId="0">
      <alignment horizontal="center"/>
    </xf>
    <xf numFmtId="0" fontId="9" fillId="0" borderId="5" pivotButton="0" quotePrefix="0" xfId="0"/>
    <xf numFmtId="0" fontId="9" fillId="0" borderId="6" pivotButton="0" quotePrefix="0" xfId="0"/>
    <xf numFmtId="0" fontId="9" fillId="0" borderId="6" applyAlignment="1" pivotButton="0" quotePrefix="0" xfId="0">
      <alignment horizontal="center"/>
    </xf>
    <xf numFmtId="165" fontId="9" fillId="0" borderId="6" pivotButton="0" quotePrefix="0" xfId="0"/>
    <xf numFmtId="0" fontId="13" fillId="0" borderId="4" pivotButton="0" quotePrefix="0" xfId="0"/>
    <xf numFmtId="0" fontId="9" fillId="0" borderId="7" pivotButton="0" quotePrefix="0" xfId="0"/>
    <xf numFmtId="164" fontId="9" fillId="0" borderId="4" applyAlignment="1" pivotButton="0" quotePrefix="0" xfId="0">
      <alignment horizontal="right"/>
    </xf>
    <xf numFmtId="0" fontId="9" fillId="0" borderId="4" pivotButton="0" quotePrefix="0" xfId="0"/>
    <xf numFmtId="0" fontId="9" fillId="0" borderId="4" applyAlignment="1" pivotButton="0" quotePrefix="0" xfId="0">
      <alignment horizontal="center"/>
    </xf>
    <xf numFmtId="165" fontId="9" fillId="0" borderId="4" pivotButton="0" quotePrefix="0" xfId="0"/>
    <xf numFmtId="0" fontId="15" fillId="0" borderId="4" pivotButton="0" quotePrefix="0" xfId="0"/>
    <xf numFmtId="0" fontId="9" fillId="0" borderId="4" applyAlignment="1" pivotButton="0" quotePrefix="0" xfId="0">
      <alignment horizontal="center"/>
    </xf>
    <xf numFmtId="165" fontId="9" fillId="0" borderId="6" pivotButton="0" quotePrefix="0" xfId="0"/>
    <xf numFmtId="165" fontId="9" fillId="0" borderId="4" pivotButton="0" quotePrefix="0" xfId="0"/>
    <xf numFmtId="165" fontId="9" fillId="0" borderId="0" pivotButton="0" quotePrefix="0" xfId="0"/>
    <xf numFmtId="164" fontId="9" fillId="0" borderId="8" applyAlignment="1" pivotButton="0" quotePrefix="0" xfId="0">
      <alignment horizontal="right"/>
    </xf>
    <xf numFmtId="0" fontId="9" fillId="0" borderId="8" pivotButton="0" quotePrefix="0" xfId="0"/>
    <xf numFmtId="0" fontId="9" fillId="0" borderId="8" applyAlignment="1" pivotButton="0" quotePrefix="0" xfId="0">
      <alignment horizontal="center"/>
    </xf>
    <xf numFmtId="165" fontId="9" fillId="0" borderId="8" pivotButton="0" quotePrefix="0" xfId="0"/>
    <xf numFmtId="0" fontId="16" fillId="3" borderId="4" applyAlignment="1" pivotButton="0" quotePrefix="0" xfId="0">
      <alignment horizontal="center"/>
    </xf>
    <xf numFmtId="165" fontId="16" fillId="3" borderId="4" applyAlignment="1" pivotButton="0" quotePrefix="0" xfId="0">
      <alignment horizontal="center"/>
    </xf>
    <xf numFmtId="165" fontId="12" fillId="0" borderId="4" pivotButton="0" quotePrefix="0" xfId="0"/>
    <xf numFmtId="0" fontId="12" fillId="0" borderId="9" pivotButton="0" quotePrefix="0" xfId="0"/>
    <xf numFmtId="0" fontId="12" fillId="0" borderId="9" applyAlignment="1" pivotButton="0" quotePrefix="0" xfId="0">
      <alignment horizontal="right"/>
    </xf>
    <xf numFmtId="165" fontId="17" fillId="0" borderId="1" pivotButton="0" quotePrefix="0" xfId="0"/>
    <xf numFmtId="165" fontId="17" fillId="0" borderId="2" pivotButton="0" quotePrefix="0" xfId="0"/>
    <xf numFmtId="165" fontId="17" fillId="0" borderId="10" pivotButton="0" quotePrefix="0" xfId="0"/>
    <xf numFmtId="165" fontId="12" fillId="0" borderId="0" pivotButton="0" quotePrefix="0" xfId="0"/>
    <xf numFmtId="0" fontId="12" fillId="0" borderId="0" applyAlignment="1" pivotButton="0" quotePrefix="0" xfId="0">
      <alignment horizontal="center"/>
    </xf>
    <xf numFmtId="0" fontId="14" fillId="2" borderId="11" applyAlignment="1" pivotButton="0" quotePrefix="0" xfId="0">
      <alignment horizontal="center"/>
    </xf>
    <xf numFmtId="164" fontId="14" fillId="2" borderId="12" applyAlignment="1" pivotButton="0" quotePrefix="0" xfId="0">
      <alignment horizontal="center"/>
    </xf>
    <xf numFmtId="0" fontId="14" fillId="2" borderId="12" applyAlignment="1" pivotButton="0" quotePrefix="0" xfId="0">
      <alignment horizontal="center"/>
    </xf>
    <xf numFmtId="0" fontId="16" fillId="0" borderId="0" pivotButton="0" quotePrefix="0" xfId="0"/>
    <xf numFmtId="0" fontId="16" fillId="0" borderId="4" pivotButton="0" quotePrefix="0" xfId="0"/>
    <xf numFmtId="165" fontId="16" fillId="0" borderId="4" pivotButton="0" quotePrefix="0" xfId="0"/>
    <xf numFmtId="0" fontId="22" fillId="6" borderId="19" pivotButton="0" quotePrefix="0" xfId="0"/>
    <xf numFmtId="166" fontId="23" fillId="6" borderId="20" pivotButton="0" quotePrefix="0" xfId="0"/>
    <xf numFmtId="0" fontId="24" fillId="0" borderId="0" pivotButton="0" quotePrefix="0" xfId="0"/>
    <xf numFmtId="0" fontId="25" fillId="0" borderId="0" pivotButton="0" quotePrefix="0" xfId="0"/>
    <xf numFmtId="0" fontId="14" fillId="2" borderId="23" applyAlignment="1" pivotButton="0" quotePrefix="0" xfId="0">
      <alignment horizontal="center"/>
    </xf>
    <xf numFmtId="165" fontId="9" fillId="0" borderId="7" pivotButton="0" quotePrefix="0" xfId="0"/>
    <xf numFmtId="0" fontId="14" fillId="2" borderId="22" applyAlignment="1" pivotButton="0" quotePrefix="0" xfId="0">
      <alignment horizontal="center"/>
    </xf>
    <xf numFmtId="0" fontId="0" fillId="0" borderId="4" pivotButton="0" quotePrefix="0" xfId="0"/>
    <xf numFmtId="0" fontId="27" fillId="0" borderId="4" pivotButton="0" quotePrefix="0" xfId="0"/>
    <xf numFmtId="0" fontId="7" fillId="0" borderId="4" pivotButton="0" quotePrefix="0" xfId="0"/>
    <xf numFmtId="167" fontId="9" fillId="0" borderId="6" applyAlignment="1" pivotButton="0" quotePrefix="0" xfId="0">
      <alignment horizontal="right"/>
    </xf>
    <xf numFmtId="0" fontId="27" fillId="0" borderId="4" pivotButton="0" quotePrefix="0" xfId="0"/>
    <xf numFmtId="0" fontId="26" fillId="0" borderId="4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28" fillId="0" borderId="0" pivotButton="0" quotePrefix="0" xfId="0"/>
    <xf numFmtId="0" fontId="30" fillId="2" borderId="3" applyAlignment="1" pivotButton="0" quotePrefix="0" xfId="0">
      <alignment horizontal="center"/>
    </xf>
    <xf numFmtId="165" fontId="29" fillId="3" borderId="4" applyAlignment="1" pivotButton="0" quotePrefix="0" xfId="0">
      <alignment horizontal="center"/>
    </xf>
    <xf numFmtId="0" fontId="31" fillId="0" borderId="0" applyAlignment="1" pivotButton="0" quotePrefix="0" xfId="0">
      <alignment horizontal="left"/>
    </xf>
    <xf numFmtId="0" fontId="29" fillId="3" borderId="4" applyAlignment="1" pivotButton="0" quotePrefix="0" xfId="0">
      <alignment horizontal="center"/>
    </xf>
    <xf numFmtId="0" fontId="32" fillId="0" borderId="0" pivotButton="0" quotePrefix="0" xfId="0"/>
    <xf numFmtId="0" fontId="28" fillId="0" borderId="21" pivotButton="0" quotePrefix="0" xfId="1"/>
    <xf numFmtId="0" fontId="6" fillId="0" borderId="21" pivotButton="0" quotePrefix="0" xfId="1"/>
    <xf numFmtId="168" fontId="26" fillId="0" borderId="21" pivotButton="0" quotePrefix="0" xfId="1"/>
    <xf numFmtId="0" fontId="33" fillId="0" borderId="21" pivotButton="0" quotePrefix="0" xfId="2"/>
    <xf numFmtId="0" fontId="33" fillId="0" borderId="21" pivotButton="0" quotePrefix="0" xfId="2"/>
    <xf numFmtId="0" fontId="34" fillId="0" borderId="21" pivotButton="0" quotePrefix="0" xfId="2"/>
    <xf numFmtId="0" fontId="34" fillId="0" borderId="34" pivotButton="0" quotePrefix="0" xfId="2"/>
    <xf numFmtId="0" fontId="33" fillId="0" borderId="21" pivotButton="0" quotePrefix="0" xfId="2"/>
    <xf numFmtId="0" fontId="34" fillId="0" borderId="21" pivotButton="0" quotePrefix="0" xfId="2"/>
    <xf numFmtId="0" fontId="36" fillId="8" borderId="21" pivotButton="0" quotePrefix="0" xfId="2"/>
    <xf numFmtId="0" fontId="34" fillId="0" borderId="35" pivotButton="0" quotePrefix="0" xfId="2"/>
    <xf numFmtId="0" fontId="34" fillId="0" borderId="36" pivotButton="0" quotePrefix="0" xfId="2"/>
    <xf numFmtId="0" fontId="37" fillId="0" borderId="36" pivotButton="0" quotePrefix="0" xfId="2"/>
    <xf numFmtId="0" fontId="37" fillId="0" borderId="37" pivotButton="0" quotePrefix="0" xfId="2"/>
    <xf numFmtId="0" fontId="37" fillId="0" borderId="21" pivotButton="0" quotePrefix="0" xfId="2"/>
    <xf numFmtId="0" fontId="37" fillId="0" borderId="35" pivotButton="0" quotePrefix="0" xfId="2"/>
    <xf numFmtId="0" fontId="34" fillId="0" borderId="37" pivotButton="0" quotePrefix="0" xfId="2"/>
    <xf numFmtId="0" fontId="34" fillId="0" borderId="38" pivotButton="0" quotePrefix="0" xfId="2"/>
    <xf numFmtId="0" fontId="37" fillId="0" borderId="39" applyAlignment="1" pivotButton="0" quotePrefix="0" xfId="2">
      <alignment horizontal="center"/>
    </xf>
    <xf numFmtId="0" fontId="37" fillId="0" borderId="32" applyAlignment="1" pivotButton="0" quotePrefix="0" xfId="2">
      <alignment horizontal="center"/>
    </xf>
    <xf numFmtId="0" fontId="37" fillId="0" borderId="40" applyAlignment="1" pivotButton="0" quotePrefix="0" xfId="2">
      <alignment horizontal="center"/>
    </xf>
    <xf numFmtId="0" fontId="37" fillId="0" borderId="21" applyAlignment="1" pivotButton="0" quotePrefix="0" xfId="2">
      <alignment horizontal="center"/>
    </xf>
    <xf numFmtId="0" fontId="37" fillId="0" borderId="21" pivotButton="0" quotePrefix="0" xfId="2"/>
    <xf numFmtId="0" fontId="37" fillId="0" borderId="41" pivotButton="0" quotePrefix="0" xfId="2"/>
    <xf numFmtId="0" fontId="37" fillId="0" borderId="38" pivotButton="0" quotePrefix="0" xfId="2"/>
    <xf numFmtId="0" fontId="34" fillId="0" borderId="41" pivotButton="0" quotePrefix="0" xfId="2"/>
    <xf numFmtId="0" fontId="34" fillId="0" borderId="21" pivotButton="0" quotePrefix="0" xfId="2"/>
    <xf numFmtId="0" fontId="38" fillId="0" borderId="21" applyAlignment="1" pivotButton="0" quotePrefix="0" xfId="2">
      <alignment horizontal="center"/>
    </xf>
    <xf numFmtId="0" fontId="39" fillId="0" borderId="21" pivotButton="0" quotePrefix="0" xfId="2"/>
    <xf numFmtId="0" fontId="38" fillId="0" borderId="21" pivotButton="0" quotePrefix="0" xfId="2"/>
    <xf numFmtId="0" fontId="40" fillId="0" borderId="21" pivotButton="0" quotePrefix="0" xfId="2"/>
    <xf numFmtId="0" fontId="37" fillId="0" borderId="21" applyAlignment="1" pivotButton="0" quotePrefix="0" xfId="2">
      <alignment vertical="center"/>
    </xf>
    <xf numFmtId="0" fontId="40" fillId="0" borderId="42" applyAlignment="1" pivotButton="0" quotePrefix="0" xfId="2">
      <alignment horizontal="center"/>
    </xf>
    <xf numFmtId="0" fontId="40" fillId="0" borderId="43" applyAlignment="1" pivotButton="0" quotePrefix="0" xfId="2">
      <alignment horizontal="center"/>
    </xf>
    <xf numFmtId="0" fontId="41" fillId="0" borderId="44" applyAlignment="1" pivotButton="0" quotePrefix="0" xfId="2">
      <alignment horizontal="center" vertical="center"/>
    </xf>
    <xf numFmtId="0" fontId="42" fillId="0" borderId="45" applyAlignment="1" pivotButton="0" quotePrefix="0" xfId="2">
      <alignment horizontal="center" vertical="center"/>
    </xf>
    <xf numFmtId="0" fontId="40" fillId="0" borderId="21" applyAlignment="1" pivotButton="0" quotePrefix="0" xfId="2">
      <alignment vertical="center"/>
    </xf>
    <xf numFmtId="0" fontId="43" fillId="0" borderId="21" pivotButton="0" quotePrefix="0" xfId="2"/>
    <xf numFmtId="0" fontId="34" fillId="0" borderId="46" pivotButton="0" quotePrefix="0" xfId="2"/>
    <xf numFmtId="0" fontId="37" fillId="0" borderId="47" pivotButton="0" quotePrefix="0" xfId="2"/>
    <xf numFmtId="0" fontId="34" fillId="0" borderId="47" pivotButton="0" quotePrefix="0" xfId="2"/>
    <xf numFmtId="0" fontId="37" fillId="0" borderId="48" pivotButton="0" quotePrefix="0" xfId="2"/>
    <xf numFmtId="0" fontId="37" fillId="0" borderId="46" pivotButton="0" quotePrefix="0" xfId="2"/>
    <xf numFmtId="0" fontId="34" fillId="0" borderId="48" pivotButton="0" quotePrefix="0" xfId="2"/>
    <xf numFmtId="0" fontId="44" fillId="0" borderId="21" pivotButton="0" quotePrefix="0" xfId="2"/>
    <xf numFmtId="0" fontId="34" fillId="0" borderId="21" applyAlignment="1" pivotButton="0" quotePrefix="0" xfId="2">
      <alignment horizontal="center"/>
    </xf>
    <xf numFmtId="0" fontId="34" fillId="0" borderId="21" pivotButton="0" quotePrefix="0" xfId="2"/>
    <xf numFmtId="0" fontId="35" fillId="0" borderId="47" pivotButton="0" quotePrefix="0" xfId="2"/>
    <xf numFmtId="0" fontId="34" fillId="0" borderId="38" pivotButton="0" quotePrefix="0" xfId="2"/>
    <xf numFmtId="0" fontId="37" fillId="0" borderId="21" pivotButton="0" quotePrefix="0" xfId="2"/>
    <xf numFmtId="0" fontId="41" fillId="0" borderId="44" applyAlignment="1" pivotButton="0" quotePrefix="0" xfId="2">
      <alignment vertical="center"/>
    </xf>
    <xf numFmtId="0" fontId="42" fillId="0" borderId="21" pivotButton="0" quotePrefix="0" xfId="2"/>
    <xf numFmtId="0" fontId="36" fillId="8" borderId="21" pivotButton="0" quotePrefix="0" xfId="2"/>
    <xf numFmtId="0" fontId="34" fillId="0" borderId="46" pivotButton="0" quotePrefix="0" xfId="2"/>
    <xf numFmtId="0" fontId="34" fillId="0" borderId="47" pivotButton="0" quotePrefix="0" xfId="2"/>
    <xf numFmtId="0" fontId="34" fillId="0" borderId="21" pivotButton="0" quotePrefix="0" xfId="2"/>
    <xf numFmtId="0" fontId="37" fillId="0" borderId="21" pivotButton="0" quotePrefix="0" xfId="2"/>
    <xf numFmtId="0" fontId="37" fillId="0" borderId="49" pivotButton="0" quotePrefix="0" xfId="2"/>
    <xf numFmtId="0" fontId="37" fillId="0" borderId="33" pivotButton="0" quotePrefix="0" xfId="2"/>
    <xf numFmtId="0" fontId="37" fillId="0" borderId="50" pivotButton="0" quotePrefix="0" xfId="2"/>
    <xf numFmtId="0" fontId="42" fillId="0" borderId="45" applyAlignment="1" pivotButton="0" quotePrefix="0" xfId="2">
      <alignment vertical="center"/>
    </xf>
    <xf numFmtId="0" fontId="37" fillId="0" borderId="21" applyAlignment="1" pivotButton="0" quotePrefix="0" xfId="2">
      <alignment vertical="center"/>
    </xf>
    <xf numFmtId="0" fontId="40" fillId="0" borderId="21" applyAlignment="1" pivotButton="0" quotePrefix="0" xfId="2">
      <alignment vertical="center"/>
    </xf>
    <xf numFmtId="0" fontId="37" fillId="0" borderId="51" pivotButton="0" quotePrefix="0" xfId="2"/>
    <xf numFmtId="0" fontId="42" fillId="0" borderId="45" pivotButton="0" quotePrefix="0" xfId="2"/>
    <xf numFmtId="0" fontId="37" fillId="0" borderId="52" pivotButton="0" quotePrefix="0" xfId="2"/>
    <xf numFmtId="4" fontId="34" fillId="0" borderId="21" applyAlignment="1" pivotButton="0" quotePrefix="0" xfId="2">
      <alignment horizontal="center" vertical="center"/>
    </xf>
    <xf numFmtId="0" fontId="42" fillId="0" borderId="21" applyAlignment="1" pivotButton="0" quotePrefix="0" xfId="2">
      <alignment vertical="center"/>
    </xf>
    <xf numFmtId="0" fontId="34" fillId="0" borderId="21" applyAlignment="1" pivotButton="0" quotePrefix="0" xfId="2">
      <alignment vertical="center"/>
    </xf>
    <xf numFmtId="0" fontId="45" fillId="0" borderId="52" pivotButton="0" quotePrefix="0" xfId="2"/>
    <xf numFmtId="0" fontId="34" fillId="0" borderId="21" applyAlignment="1" pivotButton="0" quotePrefix="0" xfId="2">
      <alignment vertical="center"/>
    </xf>
    <xf numFmtId="0" fontId="36" fillId="8" borderId="21" pivotButton="0" quotePrefix="0" xfId="2"/>
    <xf numFmtId="0" fontId="37" fillId="0" borderId="21" applyAlignment="1" pivotButton="0" quotePrefix="0" xfId="2">
      <alignment horizontal="center" vertical="center"/>
    </xf>
    <xf numFmtId="0" fontId="37" fillId="0" borderId="53" pivotButton="0" quotePrefix="0" xfId="2"/>
    <xf numFmtId="0" fontId="37" fillId="0" borderId="34" pivotButton="0" quotePrefix="0" xfId="2"/>
    <xf numFmtId="0" fontId="45" fillId="0" borderId="54" pivotButton="0" quotePrefix="0" xfId="2"/>
    <xf numFmtId="0" fontId="34" fillId="0" borderId="21" applyAlignment="1" pivotButton="0" quotePrefix="0" xfId="2">
      <alignment horizontal="center"/>
    </xf>
    <xf numFmtId="0" fontId="37" fillId="0" borderId="21" applyAlignment="1" pivotButton="0" quotePrefix="0" xfId="2">
      <alignment horizontal="center"/>
    </xf>
    <xf numFmtId="0" fontId="42" fillId="0" borderId="21" applyAlignment="1" pivotButton="0" quotePrefix="0" xfId="2">
      <alignment horizontal="center"/>
    </xf>
    <xf numFmtId="0" fontId="38" fillId="0" borderId="21" applyAlignment="1" pivotButton="0" quotePrefix="0" xfId="2">
      <alignment vertical="center"/>
    </xf>
    <xf numFmtId="0" fontId="37" fillId="0" borderId="21" applyAlignment="1" pivotButton="0" quotePrefix="0" xfId="2">
      <alignment horizontal="left" vertical="center"/>
    </xf>
    <xf numFmtId="0" fontId="46" fillId="0" borderId="21" pivotButton="0" quotePrefix="0" xfId="2"/>
    <xf numFmtId="0" fontId="45" fillId="0" borderId="21" applyAlignment="1" pivotButton="0" quotePrefix="0" xfId="2">
      <alignment vertical="center"/>
    </xf>
    <xf numFmtId="0" fontId="37" fillId="0" borderId="51" applyAlignment="1" pivotButton="0" quotePrefix="0" xfId="2">
      <alignment horizontal="center" vertical="center"/>
    </xf>
    <xf numFmtId="0" fontId="48" fillId="8" borderId="21" pivotButton="0" quotePrefix="0" xfId="3"/>
    <xf numFmtId="4" fontId="49" fillId="0" borderId="21" applyAlignment="1" pivotButton="0" quotePrefix="0" xfId="2">
      <alignment horizontal="center" vertical="center"/>
    </xf>
    <xf numFmtId="0" fontId="42" fillId="0" borderId="21" applyAlignment="1" pivotButton="0" quotePrefix="0" xfId="2">
      <alignment horizontal="center" vertical="center"/>
    </xf>
    <xf numFmtId="0" fontId="33" fillId="0" borderId="51" pivotButton="0" quotePrefix="0" xfId="2"/>
    <xf numFmtId="0" fontId="33" fillId="0" borderId="53" pivotButton="0" quotePrefix="0" xfId="2"/>
    <xf numFmtId="0" fontId="33" fillId="0" borderId="55" pivotButton="0" quotePrefix="0" xfId="2"/>
    <xf numFmtId="0" fontId="35" fillId="0" borderId="21" pivotButton="0" quotePrefix="0" xfId="2"/>
    <xf numFmtId="0" fontId="34" fillId="0" borderId="21" applyAlignment="1" pivotButton="0" quotePrefix="0" xfId="2">
      <alignment horizontal="center" vertical="center"/>
    </xf>
    <xf numFmtId="49" fontId="42" fillId="0" borderId="45" applyAlignment="1" pivotButton="0" quotePrefix="0" xfId="2">
      <alignment horizontal="center" vertical="center"/>
    </xf>
    <xf numFmtId="0" fontId="34" fillId="0" borderId="21" applyAlignment="1" pivotButton="0" quotePrefix="0" xfId="2">
      <alignment horizontal="center" vertical="center"/>
    </xf>
    <xf numFmtId="4" fontId="37" fillId="0" borderId="21" applyAlignment="1" pivotButton="0" quotePrefix="0" xfId="2">
      <alignment horizontal="center" vertical="center"/>
    </xf>
    <xf numFmtId="0" fontId="50" fillId="0" borderId="21" applyAlignment="1" pivotButton="0" quotePrefix="0" xfId="2">
      <alignment vertical="center"/>
    </xf>
    <xf numFmtId="0" fontId="33" fillId="0" borderId="21" applyAlignment="1" pivotButton="0" quotePrefix="0" xfId="2">
      <alignment vertical="center"/>
    </xf>
    <xf numFmtId="0" fontId="37" fillId="0" borderId="41" applyAlignment="1" pivotButton="0" quotePrefix="0" xfId="2">
      <alignment vertical="center"/>
    </xf>
    <xf numFmtId="0" fontId="36" fillId="8" borderId="21" applyAlignment="1" pivotButton="0" quotePrefix="0" xfId="2">
      <alignment horizontal="left"/>
    </xf>
    <xf numFmtId="0" fontId="33" fillId="0" borderId="21" applyAlignment="1" pivotButton="0" quotePrefix="0" xfId="2">
      <alignment vertical="center"/>
    </xf>
    <xf numFmtId="0" fontId="40" fillId="0" borderId="21" pivotButton="0" quotePrefix="0" xfId="2"/>
    <xf numFmtId="0" fontId="33" fillId="8" borderId="21" pivotButton="0" quotePrefix="0" xfId="2"/>
    <xf numFmtId="0" fontId="35" fillId="0" borderId="45" applyAlignment="1" pivotButton="0" quotePrefix="0" xfId="2">
      <alignment horizontal="center" vertical="center"/>
    </xf>
    <xf numFmtId="0" fontId="34" fillId="0" borderId="21" applyAlignment="1" pivotButton="0" quotePrefix="0" xfId="2">
      <alignment horizontal="right"/>
    </xf>
    <xf numFmtId="0" fontId="38" fillId="0" borderId="21" pivotButton="0" quotePrefix="0" xfId="2"/>
    <xf numFmtId="0" fontId="51" fillId="0" borderId="21" pivotButton="0" quotePrefix="0" xfId="2"/>
    <xf numFmtId="0" fontId="53" fillId="0" borderId="21" pivotButton="0" quotePrefix="0" xfId="2"/>
    <xf numFmtId="0" fontId="54" fillId="0" borderId="21" pivotButton="0" quotePrefix="0" xfId="2"/>
    <xf numFmtId="0" fontId="26" fillId="0" borderId="4" pivotButton="0" quotePrefix="0" xfId="0"/>
    <xf numFmtId="0" fontId="5" fillId="0" borderId="4" pivotButton="0" quotePrefix="0" xfId="0"/>
    <xf numFmtId="0" fontId="57" fillId="0" borderId="4" pivotButton="0" quotePrefix="0" xfId="0"/>
    <xf numFmtId="0" fontId="27" fillId="0" borderId="6" pivotButton="0" quotePrefix="0" xfId="0"/>
    <xf numFmtId="0" fontId="26" fillId="0" borderId="4" applyAlignment="1" pivotButton="0" quotePrefix="0" xfId="0">
      <alignment horizontal="center"/>
    </xf>
    <xf numFmtId="0" fontId="4" fillId="0" borderId="4" pivotButton="0" quotePrefix="0" xfId="0"/>
    <xf numFmtId="0" fontId="4" fillId="0" borderId="4" pivotButton="0" quotePrefix="0" xfId="0"/>
    <xf numFmtId="0" fontId="4" fillId="0" borderId="22" pivotButton="0" quotePrefix="0" xfId="0"/>
    <xf numFmtId="0" fontId="4" fillId="0" borderId="0" pivotButton="0" quotePrefix="0" xfId="0"/>
    <xf numFmtId="0" fontId="37" fillId="0" borderId="21" applyAlignment="1" pivotButton="0" quotePrefix="0" xfId="2">
      <alignment horizontal="center" vertical="center"/>
    </xf>
    <xf numFmtId="0" fontId="3" fillId="0" borderId="4" pivotButton="0" quotePrefix="0" xfId="0"/>
    <xf numFmtId="0" fontId="2" fillId="0" borderId="21" pivotButton="0" quotePrefix="0" xfId="1"/>
    <xf numFmtId="0" fontId="18" fillId="4" borderId="13" applyAlignment="1" pivotButton="0" quotePrefix="0" xfId="0">
      <alignment horizontal="center"/>
    </xf>
    <xf numFmtId="0" fontId="19" fillId="0" borderId="14" pivotButton="0" quotePrefix="0" xfId="0"/>
    <xf numFmtId="0" fontId="19" fillId="0" borderId="15" pivotButton="0" quotePrefix="0" xfId="0"/>
    <xf numFmtId="0" fontId="20" fillId="5" borderId="16" applyAlignment="1" pivotButton="0" quotePrefix="0" xfId="0">
      <alignment horizontal="center"/>
    </xf>
    <xf numFmtId="0" fontId="19" fillId="0" borderId="17" pivotButton="0" quotePrefix="0" xfId="0"/>
    <xf numFmtId="0" fontId="19" fillId="0" borderId="18" pivotButton="0" quotePrefix="0" xfId="0"/>
    <xf numFmtId="0" fontId="21" fillId="5" borderId="16" applyAlignment="1" pivotButton="0" quotePrefix="0" xfId="0">
      <alignment horizontal="center"/>
    </xf>
    <xf numFmtId="4" fontId="40" fillId="7" borderId="44" applyAlignment="1" pivotButton="0" quotePrefix="0" xfId="2">
      <alignment horizontal="center" vertical="center"/>
    </xf>
    <xf numFmtId="0" fontId="37" fillId="0" borderId="40" applyAlignment="1" pivotButton="0" quotePrefix="0" xfId="2">
      <alignment horizontal="center" vertical="center"/>
    </xf>
    <xf numFmtId="0" fontId="37" fillId="0" borderId="32" applyAlignment="1" pivotButton="0" quotePrefix="0" xfId="2">
      <alignment horizontal="center" vertical="center"/>
    </xf>
    <xf numFmtId="0" fontId="37" fillId="0" borderId="39" applyAlignment="1" pivotButton="0" quotePrefix="0" xfId="2">
      <alignment horizontal="center" vertical="center"/>
    </xf>
    <xf numFmtId="4" fontId="37" fillId="0" borderId="45" applyAlignment="1" pivotButton="0" quotePrefix="0" xfId="2">
      <alignment horizontal="center" vertical="center"/>
    </xf>
    <xf numFmtId="4" fontId="37" fillId="0" borderId="45" applyAlignment="1" pivotButton="0" quotePrefix="0" xfId="2">
      <alignment horizontal="center"/>
    </xf>
    <xf numFmtId="4" fontId="40" fillId="0" borderId="44" applyAlignment="1" pivotButton="0" quotePrefix="0" xfId="2">
      <alignment horizontal="center" vertical="center"/>
    </xf>
    <xf numFmtId="0" fontId="37" fillId="0" borderId="45" applyAlignment="1" pivotButton="0" quotePrefix="0" xfId="2">
      <alignment horizontal="center" vertical="center"/>
    </xf>
    <xf numFmtId="0" fontId="40" fillId="0" borderId="43" applyAlignment="1" pivotButton="0" quotePrefix="0" xfId="2">
      <alignment horizontal="center" vertical="center"/>
    </xf>
    <xf numFmtId="0" fontId="40" fillId="0" borderId="42" applyAlignment="1" pivotButton="0" quotePrefix="0" xfId="2">
      <alignment horizontal="center" vertical="center"/>
    </xf>
    <xf numFmtId="0" fontId="37" fillId="0" borderId="40" applyAlignment="1" pivotButton="0" quotePrefix="0" xfId="2">
      <alignment horizontal="center" vertical="center"/>
    </xf>
    <xf numFmtId="0" fontId="37" fillId="0" borderId="32" applyAlignment="1" pivotButton="0" quotePrefix="0" xfId="2">
      <alignment horizontal="center" vertical="center"/>
    </xf>
    <xf numFmtId="0" fontId="37" fillId="0" borderId="39" applyAlignment="1" pivotButton="0" quotePrefix="0" xfId="2">
      <alignment horizontal="center" vertical="center"/>
    </xf>
    <xf numFmtId="0" fontId="35" fillId="0" borderId="21" applyAlignment="1" pivotButton="0" quotePrefix="0" xfId="2">
      <alignment horizontal="left" wrapText="1"/>
    </xf>
    <xf numFmtId="0" fontId="38" fillId="0" borderId="21" applyAlignment="1" pivotButton="0" quotePrefix="0" xfId="2">
      <alignment horizontal="center"/>
    </xf>
    <xf numFmtId="4" fontId="40" fillId="0" borderId="45" applyAlignment="1" pivotButton="0" quotePrefix="0" xfId="2">
      <alignment horizontal="center" vertical="center"/>
    </xf>
    <xf numFmtId="4" fontId="37" fillId="0" borderId="40" applyAlignment="1" pivotButton="0" quotePrefix="0" xfId="2">
      <alignment horizontal="center" vertical="center"/>
    </xf>
    <xf numFmtId="4" fontId="37" fillId="0" borderId="32" applyAlignment="1" pivotButton="0" quotePrefix="0" xfId="2">
      <alignment horizontal="center" vertical="center"/>
    </xf>
    <xf numFmtId="4" fontId="37" fillId="0" borderId="39" applyAlignment="1" pivotButton="0" quotePrefix="0" xfId="2">
      <alignment horizontal="center" vertical="center"/>
    </xf>
    <xf numFmtId="2" fontId="37" fillId="0" borderId="45" applyAlignment="1" pivotButton="0" quotePrefix="0" xfId="2">
      <alignment horizontal="center" vertical="center"/>
    </xf>
    <xf numFmtId="0" fontId="52" fillId="0" borderId="54" applyAlignment="1" pivotButton="0" quotePrefix="0" xfId="2">
      <alignment horizontal="center" vertical="center"/>
    </xf>
    <xf numFmtId="0" fontId="52" fillId="0" borderId="34" applyAlignment="1" pivotButton="0" quotePrefix="0" xfId="2">
      <alignment horizontal="center" vertical="center"/>
    </xf>
    <xf numFmtId="0" fontId="52" fillId="0" borderId="53" applyAlignment="1" pivotButton="0" quotePrefix="0" xfId="2">
      <alignment horizontal="center" vertical="center"/>
    </xf>
    <xf numFmtId="0" fontId="52" fillId="0" borderId="50" applyAlignment="1" pivotButton="0" quotePrefix="0" xfId="2">
      <alignment horizontal="center" vertical="center"/>
    </xf>
    <xf numFmtId="0" fontId="52" fillId="0" borderId="33" applyAlignment="1" pivotButton="0" quotePrefix="0" xfId="2">
      <alignment horizontal="center" vertical="center"/>
    </xf>
    <xf numFmtId="0" fontId="52" fillId="0" borderId="49" applyAlignment="1" pivotButton="0" quotePrefix="0" xfId="2">
      <alignment horizontal="center" vertical="center"/>
    </xf>
    <xf numFmtId="0" fontId="37" fillId="0" borderId="21" applyAlignment="1" pivotButton="0" quotePrefix="0" xfId="2">
      <alignment horizontal="center"/>
    </xf>
    <xf numFmtId="0" fontId="1" fillId="0" borderId="21" pivotButton="0" quotePrefix="0" xfId="1"/>
    <xf numFmtId="0" fontId="32" fillId="0" borderId="0" applyAlignment="1" pivotButton="0" quotePrefix="0" xfId="0">
      <alignment horizontal="right"/>
    </xf>
    <xf numFmtId="167" fontId="9" fillId="0" borderId="6" applyAlignment="1" pivotButton="0" quotePrefix="0" xfId="0">
      <alignment horizontal="right"/>
    </xf>
    <xf numFmtId="0" fontId="20" fillId="5" borderId="56" applyAlignment="1" pivotButton="0" quotePrefix="0" xfId="0">
      <alignment horizontal="center"/>
    </xf>
    <xf numFmtId="0" fontId="0" fillId="0" borderId="17" pivotButton="0" quotePrefix="0" xfId="0"/>
    <xf numFmtId="0" fontId="0" fillId="0" borderId="20" pivotButton="0" quotePrefix="0" xfId="0"/>
    <xf numFmtId="0" fontId="21" fillId="5" borderId="56" applyAlignment="1" pivotButton="0" quotePrefix="0" xfId="0">
      <alignment horizontal="center"/>
    </xf>
    <xf numFmtId="0" fontId="52" fillId="0" borderId="45" applyAlignment="1" pivotButton="0" quotePrefix="0" xfId="2">
      <alignment horizontal="center" vertical="center"/>
    </xf>
    <xf numFmtId="0" fontId="0" fillId="0" borderId="34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33" pivotButton="0" quotePrefix="0" xfId="0"/>
    <xf numFmtId="0" fontId="0" fillId="0" borderId="49" pivotButton="0" quotePrefix="0" xfId="0"/>
    <xf numFmtId="0" fontId="0" fillId="0" borderId="32" pivotButton="0" quotePrefix="0" xfId="0"/>
    <xf numFmtId="0" fontId="0" fillId="0" borderId="39" pivotButton="0" quotePrefix="0" xfId="0"/>
    <xf numFmtId="0" fontId="0" fillId="0" borderId="61" pivotButton="0" quotePrefix="0" xfId="0"/>
    <xf numFmtId="0" fontId="0" fillId="0" borderId="42" pivotButton="0" quotePrefix="0" xfId="0"/>
    <xf numFmtId="0" fontId="40" fillId="0" borderId="44" applyAlignment="1" pivotButton="0" quotePrefix="0" xfId="2">
      <alignment horizontal="center" vertical="center"/>
    </xf>
    <xf numFmtId="168" fontId="26" fillId="0" borderId="21" pivotButton="0" quotePrefix="0" xfId="1"/>
    <xf numFmtId="0" fontId="58" fillId="0" borderId="0" pivotButton="0" quotePrefix="0" xfId="0"/>
  </cellXfs>
  <cellStyles count="4">
    <cellStyle name="Normal" xfId="0" builtinId="0"/>
    <cellStyle name="Normal 2" xfId="1"/>
    <cellStyle name="Normal 3" xfId="2"/>
    <cellStyle name="Hipervínculo" xfId="3" builtinId="8"/>
  </cellStyles>
  <dxfs count="8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robertocm</author>
  </authors>
  <commentList>
    <comment ref="AM2" authorId="0" shapeId="0">
      <text>
        <t>CAMBIAR ESTA CELDA PARA VER LAS DISTINTAS DECLARACIONES DEL EJERCICIO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19050</colOff>
      <row>6</row>
      <rowOff>85725</rowOff>
    </from>
    <to>
      <col>7</col>
      <colOff>152400</colOff>
      <row>14</row>
      <rowOff>71120</rowOff>
    </to>
    <pic>
      <nvPicPr>
        <cNvPr id="2" name="Imagen 1"/>
        <cNvPicPr/>
      </nvPicPr>
      <blipFill>
        <a:blip r:embed="rId1"/>
        <a:stretch>
          <a:fillRect/>
        </a:stretch>
      </blipFill>
      <spPr>
        <a:xfrm>
          <a:off x="733425" y="1276350"/>
          <a:ext cx="4419600" cy="158559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Plantilla%20Excel%20303%20-%20copia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OS FISCALES"/>
      <sheetName val="INGRESOS"/>
      <sheetName val="GASTOS"/>
      <sheetName val="303"/>
      <sheetName val="IRPF ANUAL"/>
      <sheetName val="CALCULOS"/>
      <sheetName val="CLIENTES"/>
      <sheetName val="PROVEEDORES"/>
      <sheetName val="Bienes de inversión"/>
      <sheetName val="FACTURA"/>
      <sheetName val="FACTURA R.EQ"/>
      <sheetName val="Acerca de"/>
      <sheetName val="Plantilla Excel 303 - copia"/>
    </sheetNames>
    <sheetDataSet>
      <sheetData sheetId="0">
        <row r="7">
          <cell r="C7" t="str">
            <v>ES9999999999999999999999</v>
          </cell>
        </row>
        <row r="13">
          <cell r="C13">
            <v>4</v>
          </cell>
          <cell r="E13">
            <v>0.5</v>
          </cell>
        </row>
        <row r="14">
          <cell r="C14">
            <v>10</v>
          </cell>
          <cell r="E14">
            <v>1.4</v>
          </cell>
        </row>
        <row r="15">
          <cell r="C15">
            <v>21</v>
          </cell>
          <cell r="E15">
            <v>5.2</v>
          </cell>
        </row>
        <row r="20">
          <cell r="F20" t="str">
            <v>ARABA/ÁLAVA</v>
          </cell>
          <cell r="I20" t="str">
            <v>1T</v>
          </cell>
        </row>
        <row r="21">
          <cell r="F21" t="str">
            <v>ALBACETE</v>
          </cell>
          <cell r="I21" t="str">
            <v>2T</v>
          </cell>
        </row>
        <row r="22">
          <cell r="F22" t="str">
            <v>ALACANT / ALICANTE</v>
          </cell>
          <cell r="I22" t="str">
            <v>3T</v>
          </cell>
        </row>
        <row r="23">
          <cell r="F23" t="str">
            <v>ALMERÍA</v>
          </cell>
          <cell r="I23" t="str">
            <v>4T</v>
          </cell>
        </row>
        <row r="24">
          <cell r="F24" t="str">
            <v>ASTURIAS</v>
          </cell>
        </row>
        <row r="25">
          <cell r="F25" t="str">
            <v>ÁVILA</v>
          </cell>
        </row>
        <row r="26">
          <cell r="F26" t="str">
            <v>BADAJOZ</v>
          </cell>
        </row>
        <row r="27">
          <cell r="F27" t="str">
            <v>BARCELONA</v>
          </cell>
        </row>
        <row r="28">
          <cell r="F28" t="str">
            <v>BURGOS</v>
          </cell>
        </row>
        <row r="29">
          <cell r="F29" t="str">
            <v>CÁCERES</v>
          </cell>
        </row>
        <row r="30">
          <cell r="F30" t="str">
            <v>CÁDIZ</v>
          </cell>
        </row>
        <row r="31">
          <cell r="F31" t="str">
            <v>CANTABRIA</v>
          </cell>
        </row>
        <row r="32">
          <cell r="F32" t="str">
            <v>CASTELL / CASTELLÓN</v>
          </cell>
        </row>
        <row r="33">
          <cell r="F33" t="str">
            <v>CEUTA</v>
          </cell>
        </row>
        <row r="34">
          <cell r="F34" t="str">
            <v>CIUDAD REAL</v>
          </cell>
        </row>
        <row r="35">
          <cell r="F35" t="str">
            <v>CÓRDOBA</v>
          </cell>
        </row>
        <row r="36">
          <cell r="F36" t="str">
            <v>A CORUÑA</v>
          </cell>
        </row>
        <row r="37">
          <cell r="F37" t="str">
            <v>CUENCA</v>
          </cell>
        </row>
        <row r="38">
          <cell r="F38" t="str">
            <v>GIRONA</v>
          </cell>
        </row>
        <row r="39">
          <cell r="F39" t="str">
            <v>GRANADA</v>
          </cell>
        </row>
        <row r="40">
          <cell r="F40" t="str">
            <v>GUADALAJARA</v>
          </cell>
        </row>
        <row r="41">
          <cell r="F41" t="str">
            <v>GIPÚZKOA</v>
          </cell>
        </row>
        <row r="42">
          <cell r="F42" t="str">
            <v>HUELVA</v>
          </cell>
        </row>
        <row r="43">
          <cell r="F43" t="str">
            <v>HUESCA</v>
          </cell>
        </row>
        <row r="44">
          <cell r="F44" t="str">
            <v>ILLES BALEARS</v>
          </cell>
        </row>
        <row r="45">
          <cell r="F45" t="str">
            <v>JAÉN</v>
          </cell>
        </row>
        <row r="46">
          <cell r="F46" t="str">
            <v>LEÓN</v>
          </cell>
        </row>
        <row r="47">
          <cell r="F47" t="str">
            <v>LLEIDA</v>
          </cell>
        </row>
        <row r="48">
          <cell r="F48" t="str">
            <v>LUGO</v>
          </cell>
        </row>
        <row r="49">
          <cell r="F49" t="str">
            <v>MADRID</v>
          </cell>
        </row>
        <row r="50">
          <cell r="F50" t="str">
            <v>MÁLAGA</v>
          </cell>
        </row>
        <row r="51">
          <cell r="F51" t="str">
            <v>MELILLA</v>
          </cell>
        </row>
        <row r="52">
          <cell r="F52" t="str">
            <v>MURCIA</v>
          </cell>
        </row>
        <row r="53">
          <cell r="F53" t="str">
            <v>NAVARRA</v>
          </cell>
        </row>
        <row r="54">
          <cell r="F54" t="str">
            <v>OURENSE</v>
          </cell>
        </row>
        <row r="55">
          <cell r="F55" t="str">
            <v>PALENCIA</v>
          </cell>
        </row>
        <row r="56">
          <cell r="F56" t="str">
            <v>LAS PALMAS</v>
          </cell>
        </row>
        <row r="57">
          <cell r="F57" t="str">
            <v>PONTEVEDRA</v>
          </cell>
        </row>
        <row r="58">
          <cell r="F58" t="str">
            <v>LA RIOJA</v>
          </cell>
        </row>
        <row r="59">
          <cell r="F59" t="str">
            <v>SALAMANCA</v>
          </cell>
        </row>
        <row r="60">
          <cell r="F60" t="str">
            <v>SANTA CRUZ DE TENERIFE</v>
          </cell>
        </row>
        <row r="61">
          <cell r="F61" t="str">
            <v>SEGOVIA</v>
          </cell>
        </row>
        <row r="62">
          <cell r="F62" t="str">
            <v>SEVILLA</v>
          </cell>
        </row>
        <row r="63">
          <cell r="F63" t="str">
            <v>SORIA</v>
          </cell>
        </row>
        <row r="64">
          <cell r="F64" t="str">
            <v>TARRAGONA</v>
          </cell>
        </row>
        <row r="65">
          <cell r="F65" t="str">
            <v>TERUEL</v>
          </cell>
        </row>
        <row r="66">
          <cell r="F66" t="str">
            <v>TOLEDO</v>
          </cell>
        </row>
        <row r="67">
          <cell r="F67" t="str">
            <v>VALENCIA / VALÉNCIA</v>
          </cell>
        </row>
        <row r="68">
          <cell r="F68" t="str">
            <v>VALLADOLID</v>
          </cell>
        </row>
        <row r="69">
          <cell r="F69" t="str">
            <v>BIZKAIA</v>
          </cell>
        </row>
        <row r="70">
          <cell r="F70" t="str">
            <v>ZAMORA</v>
          </cell>
        </row>
        <row r="71">
          <cell r="F71" t="str">
            <v>ZARAGOZA</v>
          </cell>
        </row>
        <row r="72">
          <cell r="F72" t="str">
            <v>NO RESIDENTE</v>
          </cell>
        </row>
      </sheetData>
      <sheetData sheetId="1">
        <row r="2">
          <cell r="A2">
            <v>0</v>
          </cell>
        </row>
      </sheetData>
      <sheetData sheetId="2">
        <row r="2">
          <cell r="A2">
            <v>0</v>
          </cell>
        </row>
      </sheetData>
      <sheetData sheetId="3"/>
      <sheetData sheetId="4"/>
      <sheetData sheetId="5"/>
      <sheetData sheetId="6">
        <row r="2">
          <cell r="A2" t="str">
            <v>CLIENTE A</v>
          </cell>
        </row>
        <row r="3">
          <cell r="A3" t="str">
            <v>CLIENTE B</v>
          </cell>
        </row>
        <row r="4">
          <cell r="A4" t="str">
            <v>CLIENTE C</v>
          </cell>
        </row>
      </sheetData>
      <sheetData sheetId="7">
        <row r="2">
          <cell r="A2" t="str">
            <v>PROVEEDOR A</v>
          </cell>
        </row>
        <row r="3">
          <cell r="A3" t="str">
            <v>PROVEEDOR B</v>
          </cell>
        </row>
        <row r="4">
          <cell r="A4" t="str">
            <v>PROVEEDOR C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topLeftCell="A29" workbookViewId="0">
      <selection activeCell="E44" sqref="E44"/>
    </sheetView>
  </sheetViews>
  <sheetFormatPr baseColWidth="10" defaultColWidth="14.42578125" defaultRowHeight="15" customHeight="1"/>
  <cols>
    <col width="4.42578125" customWidth="1" min="1" max="1"/>
    <col width="8" customWidth="1" min="2" max="2"/>
    <col width="21.140625" customWidth="1" min="3" max="3"/>
    <col width="13.5703125" customWidth="1" min="4" max="4"/>
    <col width="11.42578125" customWidth="1" min="5" max="5"/>
    <col width="10.7109375" customWidth="1" min="6" max="7"/>
    <col width="16.42578125" customWidth="1" min="8" max="8"/>
    <col width="10.7109375" customWidth="1" min="9" max="9"/>
    <col width="57.28515625" customWidth="1" min="10" max="10"/>
    <col width="10.7109375" customWidth="1" min="11" max="26"/>
  </cols>
  <sheetData>
    <row r="1" ht="36" customHeight="1">
      <c r="A1" s="1" t="inlineStr">
        <is>
          <t>Factures Emeses</t>
        </is>
      </c>
      <c r="B1" s="2" t="n"/>
      <c r="D1" s="3" t="n"/>
      <c r="E1" s="4" t="n"/>
      <c r="F1" s="5" t="n"/>
    </row>
    <row r="2">
      <c r="B2" s="2" t="n"/>
      <c r="E2" s="4" t="n"/>
    </row>
    <row r="3">
      <c r="A3" s="75" t="inlineStr">
        <is>
          <t>Valiria SL</t>
        </is>
      </c>
      <c r="B3" s="2" t="n"/>
      <c r="E3" s="4" t="n"/>
    </row>
    <row r="4">
      <c r="A4" s="192" t="inlineStr">
        <is>
          <t>C/ Roura, 2</t>
        </is>
      </c>
      <c r="B4" s="2" t="n"/>
      <c r="E4" s="4" t="n"/>
    </row>
    <row r="5">
      <c r="A5" s="7" t="inlineStr">
        <is>
          <t>43001 Tarragona</t>
        </is>
      </c>
      <c r="B5" s="2" t="n"/>
      <c r="E5" s="4" t="n"/>
    </row>
    <row r="6">
      <c r="A6" s="75" t="inlineStr">
        <is>
          <t>Període: De 01-desembre a 31-desembre</t>
        </is>
      </c>
      <c r="B6" s="2" t="n"/>
      <c r="E6" s="4" t="n"/>
    </row>
    <row r="7">
      <c r="A7" s="75" t="inlineStr">
        <is>
          <t>Empresa registrada al ROI i al SII</t>
        </is>
      </c>
      <c r="B7" s="2" t="n"/>
      <c r="E7" s="4" t="n"/>
      <c r="G7" t="n">
        <v>0.1</v>
      </c>
    </row>
    <row r="8">
      <c r="A8" s="6" t="n"/>
      <c r="B8" s="2" t="n"/>
      <c r="E8" s="4" t="n"/>
      <c r="G8" s="7" t="n">
        <v>0.21</v>
      </c>
    </row>
    <row r="9">
      <c r="A9" s="42" t="inlineStr">
        <is>
          <t>Nº</t>
        </is>
      </c>
      <c r="B9" s="43" t="inlineStr">
        <is>
          <t>Data</t>
        </is>
      </c>
      <c r="C9" s="44" t="inlineStr">
        <is>
          <t>Expedidor</t>
        </is>
      </c>
      <c r="D9" s="44" t="inlineStr">
        <is>
          <t>N.I.F.</t>
        </is>
      </c>
      <c r="E9" s="44" t="inlineStr">
        <is>
          <t>Nº Factura</t>
        </is>
      </c>
      <c r="F9" s="44" t="inlineStr">
        <is>
          <t>Base Imp.</t>
        </is>
      </c>
      <c r="G9" s="44" t="inlineStr">
        <is>
          <t>% IVA</t>
        </is>
      </c>
      <c r="H9" s="44" t="inlineStr">
        <is>
          <t>IVA</t>
        </is>
      </c>
      <c r="I9" s="52" t="inlineStr">
        <is>
          <t>Total factura</t>
        </is>
      </c>
      <c r="J9" s="54" t="inlineStr">
        <is>
          <t>Observacions</t>
        </is>
      </c>
    </row>
    <row r="10">
      <c r="A10" s="20" t="n">
        <v>1</v>
      </c>
      <c r="B10" s="19" t="n">
        <v>45992</v>
      </c>
      <c r="C10" s="186" t="inlineStr">
        <is>
          <t>Valiria SL</t>
        </is>
      </c>
      <c r="D10" s="184" t="inlineStr">
        <is>
          <t>B43888888</t>
        </is>
      </c>
      <c r="E10" s="24" t="inlineStr">
        <is>
          <t>F001</t>
        </is>
      </c>
      <c r="F10" s="26" t="n">
        <v>17323</v>
      </c>
      <c r="G10" s="24" t="n">
        <v>21</v>
      </c>
      <c r="H10" s="26">
        <f>F10*$G$8</f>
        <v/>
      </c>
      <c r="I10" s="53">
        <f>F10+H10</f>
        <v/>
      </c>
      <c r="J10" s="191" t="inlineStr">
        <is>
          <t>operació interior bé corrent</t>
        </is>
      </c>
    </row>
    <row r="11">
      <c r="A11" s="20" t="n">
        <v>2</v>
      </c>
      <c r="B11" s="19" t="n">
        <v>46006</v>
      </c>
      <c r="C11" s="186" t="inlineStr">
        <is>
          <t>Valiria SL</t>
        </is>
      </c>
      <c r="D11" s="184" t="inlineStr">
        <is>
          <t>B43888888</t>
        </is>
      </c>
      <c r="E11" s="24" t="inlineStr">
        <is>
          <t>F002</t>
        </is>
      </c>
      <c r="F11" s="26" t="n">
        <v>-2300</v>
      </c>
      <c r="G11" s="24" t="n">
        <v>21</v>
      </c>
      <c r="H11" s="26">
        <f>F11*$G$8</f>
        <v/>
      </c>
      <c r="I11" s="53">
        <f>F11+H11</f>
        <v/>
      </c>
      <c r="J11" s="191" t="inlineStr">
        <is>
          <t>descompte del mes de novembre</t>
        </is>
      </c>
    </row>
    <row r="12">
      <c r="A12" s="20" t="n">
        <v>3</v>
      </c>
      <c r="B12" s="19" t="n">
        <v>46007</v>
      </c>
      <c r="C12" s="186" t="inlineStr">
        <is>
          <t>Valiria SL</t>
        </is>
      </c>
      <c r="D12" s="184" t="inlineStr">
        <is>
          <t>B43888888</t>
        </is>
      </c>
      <c r="E12" s="24" t="inlineStr">
        <is>
          <t>F003</t>
        </is>
      </c>
      <c r="F12" s="26" t="n">
        <v>366</v>
      </c>
      <c r="G12" s="24" t="n">
        <v>21</v>
      </c>
      <c r="H12" s="26">
        <f>F12*$G$8</f>
        <v/>
      </c>
      <c r="I12" s="53">
        <f>F12+H12</f>
        <v/>
      </c>
      <c r="J12" s="191" t="inlineStr">
        <is>
          <t>operació interior bé corrent</t>
        </is>
      </c>
    </row>
    <row r="13">
      <c r="A13" s="20" t="n">
        <v>4</v>
      </c>
      <c r="B13" s="19" t="n">
        <v>46008</v>
      </c>
      <c r="C13" s="186" t="inlineStr">
        <is>
          <t>Valiria SL</t>
        </is>
      </c>
      <c r="D13" s="184" t="inlineStr">
        <is>
          <t>B43888888</t>
        </is>
      </c>
      <c r="E13" s="24" t="inlineStr">
        <is>
          <t>F004</t>
        </is>
      </c>
      <c r="F13" s="26" t="n">
        <v>6431</v>
      </c>
      <c r="G13" s="24" t="n">
        <v>21</v>
      </c>
      <c r="H13" s="26">
        <f>F13*$G$8</f>
        <v/>
      </c>
      <c r="I13" s="53">
        <f>F13+H13</f>
        <v/>
      </c>
      <c r="J13" s="191" t="inlineStr">
        <is>
          <t>operació interior bé d'inversió</t>
        </is>
      </c>
    </row>
    <row r="14">
      <c r="A14" s="20" t="n">
        <v>5</v>
      </c>
      <c r="B14" s="19" t="n">
        <v>46009</v>
      </c>
      <c r="C14" s="186" t="inlineStr">
        <is>
          <t>Valiria SL</t>
        </is>
      </c>
      <c r="D14" s="184" t="inlineStr">
        <is>
          <t>B43888888</t>
        </is>
      </c>
      <c r="E14" s="24" t="inlineStr">
        <is>
          <t>F005</t>
        </is>
      </c>
      <c r="F14" s="26" t="n">
        <v>1352</v>
      </c>
      <c r="G14" s="24" t="n">
        <v>0</v>
      </c>
      <c r="H14" s="26" t="n">
        <v>0</v>
      </c>
      <c r="I14" s="53">
        <f>F14+H14</f>
        <v/>
      </c>
      <c r="J14" s="191" t="inlineStr">
        <is>
          <t>entrega intracomunitària al client Mintu amb NIF FR964532</t>
        </is>
      </c>
    </row>
    <row r="15">
      <c r="A15" s="20" t="n">
        <v>6</v>
      </c>
      <c r="B15" s="19" t="n">
        <v>46010</v>
      </c>
      <c r="C15" s="186" t="inlineStr">
        <is>
          <t>Valiria SL</t>
        </is>
      </c>
      <c r="D15" s="184" t="inlineStr">
        <is>
          <t>B43888888</t>
        </is>
      </c>
      <c r="E15" s="24" t="inlineStr">
        <is>
          <t>F006</t>
        </is>
      </c>
      <c r="F15" s="26" t="n">
        <v>210</v>
      </c>
      <c r="G15" s="24" t="n">
        <v>21</v>
      </c>
      <c r="H15" s="26">
        <f>F15*$G$8</f>
        <v/>
      </c>
      <c r="I15" s="53">
        <f>F15+H15</f>
        <v/>
      </c>
      <c r="J15" s="191" t="inlineStr">
        <is>
          <t>operació interior bé corrent</t>
        </is>
      </c>
    </row>
    <row r="16">
      <c r="A16" s="20" t="n">
        <v>9</v>
      </c>
      <c r="B16" s="19" t="n">
        <v>46016</v>
      </c>
      <c r="C16" s="186" t="inlineStr">
        <is>
          <t>Valiria SL</t>
        </is>
      </c>
      <c r="D16" s="184" t="inlineStr">
        <is>
          <t>B43888888</t>
        </is>
      </c>
      <c r="E16" s="188" t="inlineStr">
        <is>
          <t>F007</t>
        </is>
      </c>
      <c r="F16" s="26" t="n">
        <v>3636</v>
      </c>
      <c r="G16" s="24" t="n">
        <v>0</v>
      </c>
      <c r="H16" s="26" t="n">
        <v>0</v>
      </c>
      <c r="I16" s="53">
        <f>F16+H16</f>
        <v/>
      </c>
      <c r="J16" s="191" t="inlineStr">
        <is>
          <t>exportació bé corrent</t>
        </is>
      </c>
    </row>
    <row r="17">
      <c r="A17" s="20" t="n">
        <v>10</v>
      </c>
      <c r="B17" s="19" t="n">
        <v>46021</v>
      </c>
      <c r="C17" s="186" t="inlineStr">
        <is>
          <t>Valiria SL</t>
        </is>
      </c>
      <c r="D17" s="184" t="inlineStr">
        <is>
          <t>B43888888</t>
        </is>
      </c>
      <c r="E17" s="188" t="inlineStr">
        <is>
          <t>F008</t>
        </is>
      </c>
      <c r="F17" s="26" t="n">
        <v>888</v>
      </c>
      <c r="G17" s="24" t="n">
        <v>0</v>
      </c>
      <c r="H17" s="26" t="n">
        <v>0</v>
      </c>
      <c r="I17" s="53">
        <f>F17+H17</f>
        <v/>
      </c>
      <c r="J17" s="191" t="inlineStr">
        <is>
          <t>entrega intracomunitària client Estris amb NIF BE1164532</t>
        </is>
      </c>
    </row>
    <row r="18">
      <c r="A18" s="20" t="n">
        <v>11</v>
      </c>
      <c r="B18" s="19" t="n">
        <v>46022</v>
      </c>
      <c r="C18" s="186" t="inlineStr">
        <is>
          <t>Valiria SL</t>
        </is>
      </c>
      <c r="D18" s="184" t="inlineStr">
        <is>
          <t>B43888888</t>
        </is>
      </c>
      <c r="E18" s="188" t="inlineStr">
        <is>
          <t>F009</t>
        </is>
      </c>
      <c r="F18" s="26" t="n">
        <v>456</v>
      </c>
      <c r="G18" s="24" t="n">
        <v>10</v>
      </c>
      <c r="H18" s="26">
        <f>F18*G7</f>
        <v/>
      </c>
      <c r="I18" s="53">
        <f>F18+H18</f>
        <v/>
      </c>
      <c r="J18" s="191" t="inlineStr">
        <is>
          <t>operació interior bé corrent</t>
        </is>
      </c>
    </row>
    <row r="19">
      <c r="B19" s="2" t="n"/>
      <c r="E19" s="4" t="n"/>
      <c r="G19" s="4" t="n"/>
      <c r="H19" s="27" t="n"/>
      <c r="I19" s="27" t="n"/>
    </row>
    <row r="20" ht="15.75" customHeight="1">
      <c r="A20" s="18" t="n"/>
      <c r="B20" s="28" t="n"/>
      <c r="C20" s="29" t="inlineStr">
        <is>
          <t>TOTAL</t>
        </is>
      </c>
      <c r="D20" s="29" t="n"/>
      <c r="E20" s="30" t="n"/>
      <c r="F20" s="26">
        <f>SUM(F10:F19)</f>
        <v/>
      </c>
      <c r="G20" s="31" t="n"/>
      <c r="H20" s="26">
        <f>SUM(H10:H19)</f>
        <v/>
      </c>
      <c r="I20" s="26">
        <f>SUM(I10:I19)</f>
        <v/>
      </c>
    </row>
    <row r="21" ht="15.75" customHeight="1">
      <c r="B21" s="2" t="n"/>
      <c r="E21" s="4" t="n"/>
      <c r="G21" s="4" t="n"/>
      <c r="H21" s="27" t="n"/>
      <c r="I21" s="27" t="n"/>
    </row>
    <row r="22" ht="15.75" customHeight="1">
      <c r="B22" s="2" t="n"/>
      <c r="C22" s="70" t="inlineStr">
        <is>
          <t>Operacions interiors</t>
        </is>
      </c>
      <c r="E22" s="4" t="n"/>
      <c r="F22" s="32" t="inlineStr">
        <is>
          <t xml:space="preserve"> BASES:</t>
        </is>
      </c>
      <c r="G22" s="32" t="inlineStr">
        <is>
          <t>TIPUS %IVA</t>
        </is>
      </c>
      <c r="H22" s="72" t="inlineStr">
        <is>
          <t>IVA REPERCUTIT</t>
        </is>
      </c>
      <c r="I22" s="27" t="n"/>
    </row>
    <row r="23" ht="15.75" customHeight="1">
      <c r="B23" s="2" t="n"/>
      <c r="E23" s="4" t="n"/>
      <c r="F23" s="34" t="n">
        <v>22030</v>
      </c>
      <c r="G23" s="34" t="n">
        <v>21</v>
      </c>
      <c r="H23" s="34" t="n">
        <v>4626.3</v>
      </c>
    </row>
    <row r="24" ht="15.75" customHeight="1">
      <c r="B24" s="2" t="n"/>
      <c r="E24" s="4" t="n"/>
      <c r="F24" s="34" t="n">
        <v>456</v>
      </c>
      <c r="G24" s="34" t="n">
        <v>10</v>
      </c>
      <c r="H24" s="34" t="n">
        <v>45.6</v>
      </c>
    </row>
    <row r="25" ht="15.75" customHeight="1">
      <c r="B25" s="2" t="n"/>
      <c r="E25" s="4" t="n"/>
      <c r="F25" s="34" t="n">
        <v>0</v>
      </c>
      <c r="G25" s="34" t="n">
        <v>4</v>
      </c>
      <c r="H25" s="34" t="n">
        <v>0</v>
      </c>
    </row>
    <row r="26" ht="15.75" customHeight="1">
      <c r="B26" s="2" t="n"/>
      <c r="E26" s="4" t="n"/>
      <c r="F26" s="35" t="n"/>
      <c r="G26" s="36" t="n"/>
      <c r="H26" s="35" t="n"/>
      <c r="I26" s="6" t="n"/>
    </row>
    <row r="27" ht="15.75" customHeight="1">
      <c r="B27" s="2" t="n"/>
      <c r="E27" s="231" t="inlineStr">
        <is>
          <t>Total mes</t>
        </is>
      </c>
      <c r="F27" s="37">
        <f>SUM(F23:F26)</f>
        <v/>
      </c>
      <c r="G27" s="38" t="n"/>
      <c r="H27" s="39">
        <f>SUM(H23:H26)</f>
        <v/>
      </c>
      <c r="I27" s="40" t="n"/>
    </row>
    <row r="28" ht="15.75" customHeight="1">
      <c r="B28" s="2" t="n"/>
      <c r="E28" s="4" t="n"/>
    </row>
    <row r="29" ht="15.75" customHeight="1">
      <c r="B29" s="2" t="n"/>
      <c r="E29" s="4" t="n"/>
    </row>
    <row r="30" ht="15.75" customHeight="1">
      <c r="B30" s="2" t="n"/>
      <c r="C30" s="70" t="inlineStr">
        <is>
          <t>Operacions intracomunitàries</t>
        </is>
      </c>
      <c r="E30" s="4" t="n"/>
      <c r="F30" s="32" t="inlineStr">
        <is>
          <t xml:space="preserve"> BASES:</t>
        </is>
      </c>
      <c r="G30" s="32" t="inlineStr">
        <is>
          <t>TIPUS %IVA</t>
        </is>
      </c>
      <c r="H30" s="72" t="inlineStr">
        <is>
          <t>IVA REPERCUTIT</t>
        </is>
      </c>
    </row>
    <row r="31" ht="15.75" customHeight="1">
      <c r="B31" s="2" t="n"/>
      <c r="E31" s="4" t="n"/>
      <c r="F31" s="34" t="n">
        <v>2240</v>
      </c>
      <c r="G31" s="34" t="n">
        <v>21</v>
      </c>
      <c r="H31" s="34" t="n">
        <v>0</v>
      </c>
    </row>
    <row r="32" ht="15.75" customHeight="1">
      <c r="B32" s="2" t="n"/>
      <c r="E32" s="4" t="n"/>
      <c r="F32" s="34" t="n"/>
      <c r="G32" s="34" t="n">
        <v>10</v>
      </c>
      <c r="H32" s="34" t="n"/>
    </row>
    <row r="33" ht="15.75" customHeight="1">
      <c r="B33" s="2" t="n"/>
      <c r="E33" s="4" t="n"/>
      <c r="F33" s="34" t="n"/>
      <c r="G33" s="34" t="n">
        <v>4</v>
      </c>
      <c r="H33" s="34" t="n"/>
    </row>
    <row r="34" ht="15.75" customHeight="1" thickBot="1">
      <c r="B34" s="2" t="n"/>
      <c r="E34" s="4" t="n"/>
      <c r="F34" s="35" t="n"/>
      <c r="G34" s="36" t="n"/>
      <c r="H34" s="35" t="n"/>
    </row>
    <row r="35" ht="15.75" customHeight="1" thickBot="1">
      <c r="B35" s="2" t="n"/>
      <c r="E35" s="231" t="inlineStr">
        <is>
          <t>Total mes</t>
        </is>
      </c>
      <c r="F35" s="37">
        <f>SUM(F31:F34)</f>
        <v/>
      </c>
      <c r="G35" s="38" t="n"/>
      <c r="H35" s="39">
        <f>SUM(H31:H34)</f>
        <v/>
      </c>
    </row>
    <row r="36" ht="15.75" customHeight="1">
      <c r="B36" s="2" t="n"/>
      <c r="E36" s="41" t="n"/>
    </row>
    <row r="37" ht="15.75" customHeight="1">
      <c r="B37" s="2" t="n"/>
      <c r="E37" s="41" t="n"/>
    </row>
    <row r="38" ht="15.75" customHeight="1">
      <c r="B38" s="2" t="n"/>
      <c r="C38" s="70" t="inlineStr">
        <is>
          <t>Operacions exportació</t>
        </is>
      </c>
      <c r="E38" s="4" t="n"/>
      <c r="F38" s="32" t="inlineStr">
        <is>
          <t xml:space="preserve"> BASES:</t>
        </is>
      </c>
      <c r="G38" s="32" t="inlineStr">
        <is>
          <t>TIPUS %IVA</t>
        </is>
      </c>
      <c r="H38" s="72" t="inlineStr">
        <is>
          <t>IVA REPERCUTIT</t>
        </is>
      </c>
    </row>
    <row r="39" ht="15.75" customHeight="1">
      <c r="B39" s="2" t="n"/>
      <c r="E39" s="4" t="n"/>
      <c r="F39" s="34" t="n">
        <v>3636</v>
      </c>
      <c r="G39" s="34" t="n">
        <v>21</v>
      </c>
      <c r="H39" s="34" t="n">
        <v>0</v>
      </c>
    </row>
    <row r="40" ht="15.75" customHeight="1">
      <c r="B40" s="2" t="n"/>
      <c r="E40" s="4" t="n"/>
      <c r="F40" s="34" t="n"/>
      <c r="G40" s="34" t="n">
        <v>10</v>
      </c>
      <c r="H40" s="34" t="n"/>
    </row>
    <row r="41" ht="15.75" customHeight="1">
      <c r="B41" s="2" t="n"/>
      <c r="E41" s="4" t="n"/>
      <c r="F41" s="34" t="n"/>
      <c r="G41" s="34" t="n">
        <v>4</v>
      </c>
      <c r="H41" s="34" t="n"/>
    </row>
    <row r="42" ht="15.75" customHeight="1" thickBot="1">
      <c r="B42" s="2" t="n"/>
      <c r="E42" s="4" t="n"/>
      <c r="F42" s="35" t="n"/>
      <c r="G42" s="36" t="n"/>
      <c r="H42" s="35" t="n"/>
    </row>
    <row r="43" ht="15.75" customHeight="1" thickBot="1">
      <c r="B43" s="2" t="n"/>
      <c r="E43" s="231" t="inlineStr">
        <is>
          <t>Total mes</t>
        </is>
      </c>
      <c r="F43" s="37">
        <f>SUM(F39:F42)</f>
        <v/>
      </c>
      <c r="G43" s="38" t="n"/>
      <c r="H43" s="39">
        <f>SUM(H39:H42)</f>
        <v/>
      </c>
    </row>
    <row r="44" ht="15.75" customHeight="1">
      <c r="B44" s="2" t="n"/>
      <c r="E44" s="4" t="n"/>
    </row>
    <row r="45" ht="15.75" customHeight="1">
      <c r="B45" s="2" t="n"/>
      <c r="E45" s="4" t="n"/>
    </row>
    <row r="46" ht="15.75" customHeight="1">
      <c r="B46" s="2" t="n"/>
      <c r="E46" s="4" t="n"/>
    </row>
    <row r="47" ht="15.75" customHeight="1">
      <c r="B47" s="2" t="n"/>
      <c r="E47" s="4" t="n"/>
    </row>
    <row r="48" ht="15.75" customHeight="1">
      <c r="B48" s="2" t="n"/>
      <c r="E48" s="4" t="n"/>
    </row>
    <row r="49" ht="15.75" customHeight="1">
      <c r="B49" s="2" t="n"/>
      <c r="E49" s="4" t="n"/>
    </row>
    <row r="50" ht="15.75" customHeight="1">
      <c r="B50" s="2" t="n"/>
      <c r="E50" s="4" t="n"/>
    </row>
    <row r="51" ht="15.75" customHeight="1">
      <c r="B51" s="2" t="n"/>
      <c r="E51" s="4" t="n"/>
    </row>
    <row r="52" ht="15.75" customHeight="1">
      <c r="B52" s="2" t="n"/>
      <c r="E52" s="4" t="n"/>
    </row>
    <row r="53" ht="15.75" customHeight="1">
      <c r="B53" s="2" t="n"/>
      <c r="E53" s="4" t="n"/>
    </row>
    <row r="54" ht="15.75" customHeight="1">
      <c r="B54" s="2" t="n"/>
      <c r="E54" s="4" t="n"/>
    </row>
    <row r="55" ht="15.75" customHeight="1">
      <c r="B55" s="2" t="n"/>
      <c r="E55" s="4" t="n"/>
    </row>
    <row r="56" ht="15.75" customHeight="1">
      <c r="B56" s="2" t="n"/>
      <c r="E56" s="4" t="n"/>
    </row>
    <row r="57" ht="15.75" customHeight="1">
      <c r="B57" s="2" t="n"/>
      <c r="E57" s="4" t="n"/>
    </row>
    <row r="58" ht="15.75" customHeight="1">
      <c r="B58" s="2" t="n"/>
      <c r="E58" s="4" t="n"/>
    </row>
    <row r="59" ht="15.75" customHeight="1">
      <c r="B59" s="2" t="n"/>
      <c r="E59" s="4" t="n"/>
    </row>
    <row r="60" ht="15.75" customHeight="1">
      <c r="B60" s="2" t="n"/>
      <c r="E60" s="4" t="n"/>
    </row>
    <row r="61" ht="15.75" customHeight="1">
      <c r="B61" s="2" t="n"/>
      <c r="E61" s="4" t="n"/>
    </row>
    <row r="62" ht="15.75" customHeight="1">
      <c r="B62" s="2" t="n"/>
      <c r="E62" s="4" t="n"/>
    </row>
    <row r="63" ht="15.75" customHeight="1">
      <c r="B63" s="2" t="n"/>
      <c r="E63" s="4" t="n"/>
    </row>
    <row r="64" ht="15.75" customHeight="1">
      <c r="B64" s="2" t="n"/>
      <c r="E64" s="4" t="n"/>
    </row>
    <row r="65" ht="15.75" customHeight="1">
      <c r="B65" s="2" t="n"/>
      <c r="E65" s="4" t="n"/>
    </row>
    <row r="66" ht="15.75" customHeight="1">
      <c r="B66" s="2" t="n"/>
      <c r="E66" s="4" t="n"/>
    </row>
    <row r="67" ht="15.75" customHeight="1">
      <c r="B67" s="2" t="n"/>
      <c r="E67" s="4" t="n"/>
    </row>
    <row r="68" ht="15.75" customHeight="1">
      <c r="B68" s="2" t="n"/>
      <c r="E68" s="4" t="n"/>
    </row>
    <row r="69" ht="15.75" customHeight="1">
      <c r="B69" s="2" t="n"/>
      <c r="E69" s="4" t="n"/>
    </row>
    <row r="70" ht="15.75" customHeight="1">
      <c r="B70" s="2" t="n"/>
      <c r="E70" s="4" t="n"/>
    </row>
    <row r="71" ht="15.75" customHeight="1">
      <c r="B71" s="2" t="n"/>
      <c r="E71" s="4" t="n"/>
    </row>
    <row r="72" ht="15.75" customHeight="1">
      <c r="B72" s="2" t="n"/>
      <c r="E72" s="4" t="n"/>
    </row>
    <row r="73" ht="15.75" customHeight="1">
      <c r="B73" s="2" t="n"/>
      <c r="E73" s="4" t="n"/>
    </row>
    <row r="74" ht="15.75" customHeight="1">
      <c r="B74" s="2" t="n"/>
      <c r="E74" s="4" t="n"/>
    </row>
    <row r="75" ht="15.75" customHeight="1">
      <c r="B75" s="2" t="n"/>
      <c r="E75" s="4" t="n"/>
    </row>
    <row r="76" ht="15.75" customHeight="1">
      <c r="B76" s="2" t="n"/>
      <c r="E76" s="4" t="n"/>
    </row>
    <row r="77" ht="15.75" customHeight="1">
      <c r="B77" s="2" t="n"/>
      <c r="E77" s="4" t="n"/>
    </row>
    <row r="78" ht="15.75" customHeight="1">
      <c r="B78" s="2" t="n"/>
      <c r="E78" s="4" t="n"/>
    </row>
    <row r="79" ht="15.75" customHeight="1">
      <c r="B79" s="2" t="n"/>
      <c r="E79" s="4" t="n"/>
    </row>
    <row r="80" ht="15.75" customHeight="1">
      <c r="B80" s="2" t="n"/>
      <c r="E80" s="4" t="n"/>
    </row>
    <row r="81" ht="15.75" customHeight="1">
      <c r="B81" s="2" t="n"/>
      <c r="E81" s="4" t="n"/>
    </row>
    <row r="82" ht="15.75" customHeight="1">
      <c r="B82" s="2" t="n"/>
      <c r="E82" s="4" t="n"/>
    </row>
    <row r="83" ht="15.75" customHeight="1">
      <c r="B83" s="2" t="n"/>
      <c r="E83" s="4" t="n"/>
    </row>
    <row r="84" ht="15.75" customHeight="1">
      <c r="B84" s="2" t="n"/>
      <c r="E84" s="4" t="n"/>
    </row>
    <row r="85" ht="15.75" customHeight="1">
      <c r="B85" s="2" t="n"/>
      <c r="E85" s="4" t="n"/>
    </row>
    <row r="86" ht="15.75" customHeight="1">
      <c r="B86" s="2" t="n"/>
      <c r="E86" s="4" t="n"/>
    </row>
    <row r="87" ht="15.75" customHeight="1">
      <c r="B87" s="2" t="n"/>
      <c r="E87" s="4" t="n"/>
    </row>
    <row r="88" ht="15.75" customHeight="1">
      <c r="B88" s="2" t="n"/>
      <c r="E88" s="4" t="n"/>
    </row>
    <row r="89" ht="15.75" customHeight="1">
      <c r="B89" s="2" t="n"/>
      <c r="E89" s="4" t="n"/>
    </row>
    <row r="90" ht="15.75" customHeight="1">
      <c r="B90" s="2" t="n"/>
      <c r="E90" s="4" t="n"/>
    </row>
    <row r="91" ht="15.75" customHeight="1">
      <c r="B91" s="2" t="n"/>
      <c r="E91" s="4" t="n"/>
    </row>
    <row r="92" ht="15.75" customHeight="1">
      <c r="B92" s="2" t="n"/>
      <c r="E92" s="4" t="n"/>
    </row>
    <row r="93" ht="15.75" customHeight="1">
      <c r="B93" s="2" t="n"/>
      <c r="E93" s="4" t="n"/>
    </row>
    <row r="94" ht="15.75" customHeight="1">
      <c r="B94" s="2" t="n"/>
      <c r="E94" s="4" t="n"/>
    </row>
    <row r="95" ht="15.75" customHeight="1">
      <c r="B95" s="2" t="n"/>
      <c r="E95" s="4" t="n"/>
    </row>
    <row r="96" ht="15.75" customHeight="1">
      <c r="B96" s="2" t="n"/>
      <c r="E96" s="4" t="n"/>
    </row>
    <row r="97" ht="15.75" customHeight="1">
      <c r="B97" s="2" t="n"/>
      <c r="E97" s="4" t="n"/>
    </row>
    <row r="98" ht="15.75" customHeight="1">
      <c r="B98" s="2" t="n"/>
      <c r="E98" s="4" t="n"/>
    </row>
    <row r="99" ht="15.75" customHeight="1">
      <c r="B99" s="2" t="n"/>
      <c r="E99" s="4" t="n"/>
    </row>
    <row r="100" ht="15.75" customHeight="1">
      <c r="B100" s="2" t="n"/>
      <c r="E100" s="4" t="n"/>
    </row>
    <row r="101" ht="15.75" customHeight="1">
      <c r="B101" s="2" t="n"/>
      <c r="E101" s="4" t="n"/>
    </row>
    <row r="102" ht="15.75" customHeight="1">
      <c r="B102" s="2" t="n"/>
      <c r="E102" s="4" t="n"/>
    </row>
    <row r="103" ht="15.75" customHeight="1">
      <c r="B103" s="2" t="n"/>
      <c r="E103" s="4" t="n"/>
    </row>
    <row r="104" ht="15.75" customHeight="1">
      <c r="B104" s="2" t="n"/>
      <c r="E104" s="4" t="n"/>
    </row>
    <row r="105" ht="15.75" customHeight="1">
      <c r="B105" s="2" t="n"/>
      <c r="E105" s="4" t="n"/>
    </row>
    <row r="106" ht="15.75" customHeight="1">
      <c r="B106" s="2" t="n"/>
      <c r="E106" s="4" t="n"/>
    </row>
    <row r="107" ht="15.75" customHeight="1">
      <c r="B107" s="2" t="n"/>
      <c r="E107" s="4" t="n"/>
    </row>
    <row r="108" ht="15.75" customHeight="1">
      <c r="B108" s="2" t="n"/>
      <c r="E108" s="4" t="n"/>
    </row>
    <row r="109" ht="15.75" customHeight="1">
      <c r="B109" s="2" t="n"/>
      <c r="E109" s="4" t="n"/>
    </row>
    <row r="110" ht="15.75" customHeight="1">
      <c r="B110" s="2" t="n"/>
      <c r="E110" s="4" t="n"/>
    </row>
    <row r="111" ht="15.75" customHeight="1">
      <c r="B111" s="2" t="n"/>
      <c r="E111" s="4" t="n"/>
    </row>
    <row r="112" ht="15.75" customHeight="1">
      <c r="B112" s="2" t="n"/>
      <c r="E112" s="4" t="n"/>
    </row>
    <row r="113" ht="15.75" customHeight="1">
      <c r="B113" s="2" t="n"/>
      <c r="E113" s="4" t="n"/>
    </row>
    <row r="114" ht="15.75" customHeight="1">
      <c r="B114" s="2" t="n"/>
      <c r="E114" s="4" t="n"/>
    </row>
    <row r="115" ht="15.75" customHeight="1">
      <c r="B115" s="2" t="n"/>
      <c r="E115" s="4" t="n"/>
    </row>
    <row r="116" ht="15.75" customHeight="1">
      <c r="B116" s="2" t="n"/>
      <c r="E116" s="4" t="n"/>
    </row>
    <row r="117" ht="15.75" customHeight="1">
      <c r="B117" s="2" t="n"/>
      <c r="E117" s="4" t="n"/>
    </row>
    <row r="118" ht="15.75" customHeight="1">
      <c r="B118" s="2" t="n"/>
      <c r="E118" s="4" t="n"/>
    </row>
    <row r="119" ht="15.75" customHeight="1">
      <c r="B119" s="2" t="n"/>
      <c r="E119" s="4" t="n"/>
    </row>
    <row r="120" ht="15.75" customHeight="1">
      <c r="B120" s="2" t="n"/>
      <c r="E120" s="4" t="n"/>
    </row>
    <row r="121" ht="15.75" customHeight="1">
      <c r="B121" s="2" t="n"/>
      <c r="E121" s="4" t="n"/>
    </row>
    <row r="122" ht="15.75" customHeight="1">
      <c r="B122" s="2" t="n"/>
      <c r="E122" s="4" t="n"/>
    </row>
    <row r="123" ht="15.75" customHeight="1">
      <c r="B123" s="2" t="n"/>
      <c r="E123" s="4" t="n"/>
    </row>
    <row r="124" ht="15.75" customHeight="1">
      <c r="B124" s="2" t="n"/>
      <c r="E124" s="4" t="n"/>
    </row>
    <row r="125" ht="15.75" customHeight="1">
      <c r="B125" s="2" t="n"/>
      <c r="E125" s="4" t="n"/>
    </row>
    <row r="126" ht="15.75" customHeight="1">
      <c r="B126" s="2" t="n"/>
      <c r="E126" s="4" t="n"/>
    </row>
    <row r="127" ht="15.75" customHeight="1">
      <c r="B127" s="2" t="n"/>
      <c r="E127" s="4" t="n"/>
    </row>
    <row r="128" ht="15.75" customHeight="1">
      <c r="B128" s="2" t="n"/>
      <c r="E128" s="4" t="n"/>
    </row>
    <row r="129" ht="15.75" customHeight="1">
      <c r="B129" s="2" t="n"/>
      <c r="E129" s="4" t="n"/>
    </row>
    <row r="130" ht="15.75" customHeight="1">
      <c r="B130" s="2" t="n"/>
      <c r="E130" s="4" t="n"/>
    </row>
    <row r="131" ht="15.75" customHeight="1">
      <c r="B131" s="2" t="n"/>
      <c r="E131" s="4" t="n"/>
    </row>
    <row r="132" ht="15.75" customHeight="1">
      <c r="B132" s="2" t="n"/>
      <c r="E132" s="4" t="n"/>
    </row>
    <row r="133" ht="15.75" customHeight="1">
      <c r="B133" s="2" t="n"/>
      <c r="E133" s="4" t="n"/>
    </row>
    <row r="134" ht="15.75" customHeight="1">
      <c r="B134" s="2" t="n"/>
      <c r="E134" s="4" t="n"/>
    </row>
    <row r="135" ht="15.75" customHeight="1">
      <c r="B135" s="2" t="n"/>
      <c r="E135" s="4" t="n"/>
    </row>
    <row r="136" ht="15.75" customHeight="1">
      <c r="B136" s="2" t="n"/>
      <c r="E136" s="4" t="n"/>
    </row>
    <row r="137" ht="15.75" customHeight="1">
      <c r="B137" s="2" t="n"/>
      <c r="E137" s="4" t="n"/>
    </row>
    <row r="138" ht="15.75" customHeight="1">
      <c r="B138" s="2" t="n"/>
      <c r="E138" s="4" t="n"/>
    </row>
    <row r="139" ht="15.75" customHeight="1">
      <c r="B139" s="2" t="n"/>
      <c r="E139" s="4" t="n"/>
    </row>
    <row r="140" ht="15.75" customHeight="1">
      <c r="B140" s="2" t="n"/>
      <c r="E140" s="4" t="n"/>
    </row>
    <row r="141" ht="15.75" customHeight="1">
      <c r="B141" s="2" t="n"/>
      <c r="E141" s="4" t="n"/>
    </row>
    <row r="142" ht="15.75" customHeight="1">
      <c r="B142" s="2" t="n"/>
      <c r="E142" s="4" t="n"/>
    </row>
    <row r="143" ht="15.75" customHeight="1">
      <c r="B143" s="2" t="n"/>
      <c r="E143" s="4" t="n"/>
    </row>
    <row r="144" ht="15.75" customHeight="1">
      <c r="B144" s="2" t="n"/>
      <c r="E144" s="4" t="n"/>
    </row>
    <row r="145" ht="15.75" customHeight="1">
      <c r="B145" s="2" t="n"/>
      <c r="E145" s="4" t="n"/>
    </row>
    <row r="146" ht="15.75" customHeight="1">
      <c r="B146" s="2" t="n"/>
      <c r="E146" s="4" t="n"/>
    </row>
    <row r="147" ht="15.75" customHeight="1">
      <c r="B147" s="2" t="n"/>
      <c r="E147" s="4" t="n"/>
    </row>
    <row r="148" ht="15.75" customHeight="1">
      <c r="B148" s="2" t="n"/>
      <c r="E148" s="4" t="n"/>
    </row>
    <row r="149" ht="15.75" customHeight="1">
      <c r="B149" s="2" t="n"/>
      <c r="E149" s="4" t="n"/>
    </row>
    <row r="150" ht="15.75" customHeight="1">
      <c r="B150" s="2" t="n"/>
      <c r="E150" s="4" t="n"/>
    </row>
    <row r="151" ht="15.75" customHeight="1">
      <c r="B151" s="2" t="n"/>
      <c r="E151" s="4" t="n"/>
    </row>
    <row r="152" ht="15.75" customHeight="1">
      <c r="B152" s="2" t="n"/>
      <c r="E152" s="4" t="n"/>
    </row>
    <row r="153" ht="15.75" customHeight="1">
      <c r="B153" s="2" t="n"/>
      <c r="E153" s="4" t="n"/>
    </row>
    <row r="154" ht="15.75" customHeight="1">
      <c r="B154" s="2" t="n"/>
      <c r="E154" s="4" t="n"/>
    </row>
    <row r="155" ht="15.75" customHeight="1">
      <c r="B155" s="2" t="n"/>
      <c r="E155" s="4" t="n"/>
    </row>
    <row r="156" ht="15.75" customHeight="1">
      <c r="B156" s="2" t="n"/>
      <c r="E156" s="4" t="n"/>
    </row>
    <row r="157" ht="15.75" customHeight="1">
      <c r="B157" s="2" t="n"/>
      <c r="E157" s="4" t="n"/>
    </row>
    <row r="158" ht="15.75" customHeight="1">
      <c r="B158" s="2" t="n"/>
      <c r="E158" s="4" t="n"/>
    </row>
    <row r="159" ht="15.75" customHeight="1">
      <c r="B159" s="2" t="n"/>
      <c r="E159" s="4" t="n"/>
    </row>
    <row r="160" ht="15.75" customHeight="1">
      <c r="B160" s="2" t="n"/>
      <c r="E160" s="4" t="n"/>
    </row>
    <row r="161" ht="15.75" customHeight="1">
      <c r="B161" s="2" t="n"/>
      <c r="E161" s="4" t="n"/>
    </row>
    <row r="162" ht="15.75" customHeight="1">
      <c r="B162" s="2" t="n"/>
      <c r="E162" s="4" t="n"/>
    </row>
    <row r="163" ht="15.75" customHeight="1">
      <c r="B163" s="2" t="n"/>
      <c r="E163" s="4" t="n"/>
    </row>
    <row r="164" ht="15.75" customHeight="1">
      <c r="B164" s="2" t="n"/>
      <c r="E164" s="4" t="n"/>
    </row>
    <row r="165" ht="15.75" customHeight="1">
      <c r="B165" s="2" t="n"/>
      <c r="E165" s="4" t="n"/>
    </row>
    <row r="166" ht="15.75" customHeight="1">
      <c r="B166" s="2" t="n"/>
      <c r="E166" s="4" t="n"/>
    </row>
    <row r="167" ht="15.75" customHeight="1">
      <c r="B167" s="2" t="n"/>
      <c r="E167" s="4" t="n"/>
    </row>
    <row r="168" ht="15.75" customHeight="1">
      <c r="B168" s="2" t="n"/>
      <c r="E168" s="4" t="n"/>
    </row>
    <row r="169" ht="15.75" customHeight="1">
      <c r="B169" s="2" t="n"/>
      <c r="E169" s="4" t="n"/>
    </row>
    <row r="170" ht="15.75" customHeight="1">
      <c r="B170" s="2" t="n"/>
      <c r="E170" s="4" t="n"/>
    </row>
    <row r="171" ht="15.75" customHeight="1">
      <c r="B171" s="2" t="n"/>
      <c r="E171" s="4" t="n"/>
    </row>
    <row r="172" ht="15.75" customHeight="1">
      <c r="B172" s="2" t="n"/>
      <c r="E172" s="4" t="n"/>
    </row>
    <row r="173" ht="15.75" customHeight="1">
      <c r="B173" s="2" t="n"/>
      <c r="E173" s="4" t="n"/>
    </row>
    <row r="174" ht="15.75" customHeight="1">
      <c r="B174" s="2" t="n"/>
      <c r="E174" s="4" t="n"/>
    </row>
    <row r="175" ht="15.75" customHeight="1">
      <c r="B175" s="2" t="n"/>
      <c r="E175" s="4" t="n"/>
    </row>
    <row r="176" ht="15.75" customHeight="1">
      <c r="B176" s="2" t="n"/>
      <c r="E176" s="4" t="n"/>
    </row>
    <row r="177" ht="15.75" customHeight="1">
      <c r="B177" s="2" t="n"/>
      <c r="E177" s="4" t="n"/>
    </row>
    <row r="178" ht="15.75" customHeight="1">
      <c r="B178" s="2" t="n"/>
      <c r="E178" s="4" t="n"/>
    </row>
    <row r="179" ht="15.75" customHeight="1">
      <c r="B179" s="2" t="n"/>
      <c r="E179" s="4" t="n"/>
    </row>
    <row r="180" ht="15.75" customHeight="1">
      <c r="B180" s="2" t="n"/>
      <c r="E180" s="4" t="n"/>
    </row>
    <row r="181" ht="15.75" customHeight="1">
      <c r="B181" s="2" t="n"/>
      <c r="E181" s="4" t="n"/>
    </row>
    <row r="182" ht="15.75" customHeight="1">
      <c r="B182" s="2" t="n"/>
      <c r="E182" s="4" t="n"/>
    </row>
    <row r="183" ht="15.75" customHeight="1">
      <c r="B183" s="2" t="n"/>
      <c r="E183" s="4" t="n"/>
    </row>
    <row r="184" ht="15.75" customHeight="1">
      <c r="B184" s="2" t="n"/>
      <c r="E184" s="4" t="n"/>
    </row>
    <row r="185" ht="15.75" customHeight="1">
      <c r="B185" s="2" t="n"/>
      <c r="E185" s="4" t="n"/>
    </row>
    <row r="186" ht="15.75" customHeight="1">
      <c r="B186" s="2" t="n"/>
      <c r="E186" s="4" t="n"/>
    </row>
    <row r="187" ht="15.75" customHeight="1">
      <c r="B187" s="2" t="n"/>
      <c r="E187" s="4" t="n"/>
    </row>
    <row r="188" ht="15.75" customHeight="1">
      <c r="B188" s="2" t="n"/>
      <c r="E188" s="4" t="n"/>
    </row>
    <row r="189" ht="15.75" customHeight="1">
      <c r="B189" s="2" t="n"/>
      <c r="E189" s="4" t="n"/>
    </row>
    <row r="190" ht="15.75" customHeight="1">
      <c r="B190" s="2" t="n"/>
      <c r="E190" s="4" t="n"/>
    </row>
    <row r="191" ht="15.75" customHeight="1">
      <c r="B191" s="2" t="n"/>
      <c r="E191" s="4" t="n"/>
    </row>
    <row r="192" ht="15.75" customHeight="1">
      <c r="B192" s="2" t="n"/>
      <c r="E192" s="4" t="n"/>
    </row>
    <row r="193" ht="15.75" customHeight="1">
      <c r="B193" s="2" t="n"/>
      <c r="E193" s="4" t="n"/>
    </row>
    <row r="194" ht="15.75" customHeight="1">
      <c r="B194" s="2" t="n"/>
      <c r="E194" s="4" t="n"/>
    </row>
    <row r="195" ht="15.75" customHeight="1">
      <c r="B195" s="2" t="n"/>
      <c r="E195" s="4" t="n"/>
    </row>
    <row r="196" ht="15.75" customHeight="1">
      <c r="B196" s="2" t="n"/>
      <c r="E196" s="4" t="n"/>
    </row>
    <row r="197" ht="15.75" customHeight="1">
      <c r="B197" s="2" t="n"/>
      <c r="E197" s="4" t="n"/>
    </row>
    <row r="198" ht="15.75" customHeight="1">
      <c r="B198" s="2" t="n"/>
      <c r="E198" s="4" t="n"/>
    </row>
    <row r="199" ht="15.75" customHeight="1">
      <c r="B199" s="2" t="n"/>
      <c r="E199" s="4" t="n"/>
    </row>
    <row r="200" ht="15.75" customHeight="1">
      <c r="B200" s="2" t="n"/>
      <c r="E200" s="4" t="n"/>
    </row>
    <row r="201" ht="15.75" customHeight="1">
      <c r="B201" s="2" t="n"/>
      <c r="E201" s="4" t="n"/>
    </row>
    <row r="202" ht="15.75" customHeight="1">
      <c r="B202" s="2" t="n"/>
      <c r="E202" s="4" t="n"/>
    </row>
    <row r="203" ht="15.75" customHeight="1">
      <c r="B203" s="2" t="n"/>
      <c r="E203" s="4" t="n"/>
    </row>
    <row r="204" ht="15.75" customHeight="1">
      <c r="B204" s="2" t="n"/>
      <c r="E204" s="4" t="n"/>
    </row>
    <row r="205" ht="15.75" customHeight="1">
      <c r="B205" s="2" t="n"/>
      <c r="E205" s="4" t="n"/>
    </row>
    <row r="206" ht="15.75" customHeight="1">
      <c r="B206" s="2" t="n"/>
      <c r="E206" s="4" t="n"/>
    </row>
    <row r="207" ht="15.75" customHeight="1">
      <c r="B207" s="2" t="n"/>
      <c r="E207" s="4" t="n"/>
    </row>
    <row r="208" ht="15.75" customHeight="1">
      <c r="B208" s="2" t="n"/>
      <c r="E208" s="4" t="n"/>
    </row>
    <row r="209" ht="15.75" customHeight="1">
      <c r="B209" s="2" t="n"/>
      <c r="E209" s="4" t="n"/>
    </row>
    <row r="210" ht="15.75" customHeight="1">
      <c r="B210" s="2" t="n"/>
      <c r="E210" s="4" t="n"/>
    </row>
    <row r="211" ht="15.75" customHeight="1">
      <c r="B211" s="2" t="n"/>
      <c r="E211" s="4" t="n"/>
    </row>
    <row r="212" ht="15.75" customHeight="1">
      <c r="B212" s="2" t="n"/>
      <c r="E212" s="4" t="n"/>
    </row>
    <row r="213" ht="15.75" customHeight="1">
      <c r="B213" s="2" t="n"/>
      <c r="E213" s="4" t="n"/>
    </row>
    <row r="214" ht="15.75" customHeight="1">
      <c r="B214" s="2" t="n"/>
      <c r="E214" s="4" t="n"/>
    </row>
    <row r="215" ht="15.75" customHeight="1">
      <c r="B215" s="2" t="n"/>
      <c r="E215" s="4" t="n"/>
    </row>
    <row r="216" ht="15.75" customHeight="1">
      <c r="B216" s="2" t="n"/>
      <c r="E216" s="4" t="n"/>
    </row>
    <row r="217" ht="15.75" customHeight="1">
      <c r="B217" s="2" t="n"/>
      <c r="E217" s="4" t="n"/>
    </row>
    <row r="218" ht="15.75" customHeight="1">
      <c r="B218" s="2" t="n"/>
      <c r="E218" s="4" t="n"/>
    </row>
    <row r="219" ht="15.75" customHeight="1">
      <c r="B219" s="2" t="n"/>
      <c r="E219" s="4" t="n"/>
    </row>
    <row r="220" ht="15.75" customHeight="1">
      <c r="B220" s="2" t="n"/>
      <c r="E220" s="4" t="n"/>
    </row>
    <row r="221" ht="15.75" customHeight="1">
      <c r="B221" s="2" t="n"/>
      <c r="E221" s="4" t="n"/>
    </row>
    <row r="222" ht="15.75" customHeight="1">
      <c r="B222" s="2" t="n"/>
      <c r="E222" s="4" t="n"/>
    </row>
    <row r="223" ht="15.75" customHeight="1">
      <c r="B223" s="2" t="n"/>
      <c r="E223" s="4" t="n"/>
    </row>
    <row r="224" ht="15.75" customHeight="1">
      <c r="B224" s="2" t="n"/>
      <c r="E224" s="4" t="n"/>
    </row>
    <row r="225" ht="15.75" customHeight="1">
      <c r="B225" s="2" t="n"/>
      <c r="E225" s="4" t="n"/>
    </row>
    <row r="226" ht="15.75" customHeight="1">
      <c r="B226" s="2" t="n"/>
      <c r="E226" s="4" t="n"/>
    </row>
    <row r="227" ht="15.75" customHeight="1">
      <c r="B227" s="2" t="n"/>
      <c r="E227" s="4" t="n"/>
    </row>
    <row r="228" ht="15.75" customHeight="1">
      <c r="B228" s="2" t="n"/>
      <c r="E228" s="4" t="n"/>
    </row>
    <row r="229" ht="15.75" customHeight="1">
      <c r="B229" s="2" t="n"/>
      <c r="E229" s="4" t="n"/>
    </row>
    <row r="230" ht="15.75" customHeight="1">
      <c r="B230" s="2" t="n"/>
      <c r="E230" s="4" t="n"/>
    </row>
    <row r="231" ht="15.75" customHeight="1">
      <c r="B231" s="2" t="n"/>
      <c r="E231" s="4" t="n"/>
    </row>
    <row r="232" ht="15.75" customHeight="1">
      <c r="B232" s="2" t="n"/>
      <c r="E232" s="4" t="n"/>
    </row>
    <row r="233" ht="15.75" customHeight="1">
      <c r="B233" s="2" t="n"/>
      <c r="E233" s="4" t="n"/>
    </row>
    <row r="234" ht="15.75" customHeight="1">
      <c r="B234" s="2" t="n"/>
      <c r="E234" s="4" t="n"/>
    </row>
    <row r="235" ht="15.75" customHeight="1">
      <c r="B235" s="2" t="n"/>
      <c r="E235" s="4" t="n"/>
    </row>
    <row r="236" ht="15.75" customHeight="1">
      <c r="B236" s="2" t="n"/>
      <c r="E236" s="4" t="n"/>
    </row>
    <row r="237" ht="15.75" customHeight="1">
      <c r="B237" s="2" t="n"/>
      <c r="E237" s="4" t="n"/>
    </row>
    <row r="238" ht="15.75" customHeight="1">
      <c r="B238" s="2" t="n"/>
      <c r="E238" s="4" t="n"/>
    </row>
    <row r="239" ht="15.75" customHeight="1">
      <c r="B239" s="2" t="n"/>
      <c r="E239" s="4" t="n"/>
    </row>
    <row r="240" ht="15.75" customHeight="1">
      <c r="B240" s="2" t="n"/>
      <c r="E240" s="4" t="n"/>
    </row>
    <row r="241" ht="15.75" customHeight="1">
      <c r="B241" s="2" t="n"/>
      <c r="E241" s="4" t="n"/>
    </row>
    <row r="242" ht="15.75" customHeight="1">
      <c r="B242" s="2" t="n"/>
      <c r="E242" s="4" t="n"/>
    </row>
    <row r="243" ht="15.75" customHeight="1">
      <c r="B243" s="2" t="n"/>
      <c r="E243" s="4" t="n"/>
    </row>
    <row r="244" ht="15.75" customHeight="1">
      <c r="B244" s="2" t="n"/>
      <c r="E244" s="4" t="n"/>
    </row>
    <row r="245" ht="15.75" customHeight="1">
      <c r="B245" s="2" t="n"/>
      <c r="E245" s="4" t="n"/>
    </row>
    <row r="246" ht="15.75" customHeight="1">
      <c r="B246" s="2" t="n"/>
      <c r="E246" s="4" t="n"/>
    </row>
    <row r="247" ht="15.75" customHeight="1">
      <c r="B247" s="2" t="n"/>
      <c r="E247" s="4" t="n"/>
    </row>
    <row r="248" ht="15.75" customHeight="1">
      <c r="B248" s="2" t="n"/>
      <c r="E248" s="4" t="n"/>
    </row>
    <row r="249" ht="15.75" customHeight="1">
      <c r="B249" s="2" t="n"/>
      <c r="E249" s="4" t="n"/>
    </row>
    <row r="250" ht="15.75" customHeight="1">
      <c r="B250" s="2" t="n"/>
      <c r="E250" s="4" t="n"/>
    </row>
    <row r="251" ht="15.75" customHeight="1">
      <c r="B251" s="2" t="n"/>
      <c r="E251" s="4" t="n"/>
    </row>
    <row r="252" ht="15.75" customHeight="1">
      <c r="B252" s="2" t="n"/>
      <c r="E252" s="4" t="n"/>
    </row>
    <row r="253" ht="15.75" customHeight="1">
      <c r="B253" s="2" t="n"/>
      <c r="E253" s="4" t="n"/>
    </row>
    <row r="254" ht="15.75" customHeight="1">
      <c r="B254" s="2" t="n"/>
      <c r="E254" s="4" t="n"/>
    </row>
    <row r="255" ht="15.75" customHeight="1">
      <c r="B255" s="2" t="n"/>
      <c r="E255" s="4" t="n"/>
    </row>
    <row r="256" ht="15.75" customHeight="1">
      <c r="B256" s="2" t="n"/>
      <c r="E256" s="4" t="n"/>
    </row>
    <row r="257" ht="15.75" customHeight="1">
      <c r="B257" s="2" t="n"/>
      <c r="E257" s="4" t="n"/>
    </row>
    <row r="258" ht="15.75" customHeight="1">
      <c r="B258" s="2" t="n"/>
      <c r="E258" s="4" t="n"/>
    </row>
    <row r="259" ht="15.75" customHeight="1">
      <c r="B259" s="2" t="n"/>
      <c r="E259" s="4" t="n"/>
    </row>
    <row r="260" ht="15.75" customHeight="1">
      <c r="B260" s="2" t="n"/>
      <c r="E260" s="4" t="n"/>
    </row>
    <row r="261" ht="15.75" customHeight="1">
      <c r="B261" s="2" t="n"/>
      <c r="E261" s="4" t="n"/>
    </row>
    <row r="262" ht="15.75" customHeight="1">
      <c r="B262" s="2" t="n"/>
      <c r="E262" s="4" t="n"/>
    </row>
    <row r="263" ht="15.75" customHeight="1">
      <c r="B263" s="2" t="n"/>
      <c r="E263" s="4" t="n"/>
    </row>
    <row r="264" ht="15.75" customHeight="1">
      <c r="B264" s="2" t="n"/>
      <c r="E264" s="4" t="n"/>
    </row>
    <row r="265" ht="15.75" customHeight="1">
      <c r="B265" s="2" t="n"/>
      <c r="E265" s="4" t="n"/>
    </row>
    <row r="266" ht="15.75" customHeight="1">
      <c r="B266" s="2" t="n"/>
      <c r="E266" s="4" t="n"/>
    </row>
    <row r="267" ht="15.75" customHeight="1">
      <c r="B267" s="2" t="n"/>
      <c r="E267" s="4" t="n"/>
    </row>
    <row r="268" ht="15.75" customHeight="1">
      <c r="B268" s="2" t="n"/>
      <c r="E268" s="4" t="n"/>
    </row>
    <row r="269" ht="15.75" customHeight="1">
      <c r="B269" s="2" t="n"/>
      <c r="E269" s="4" t="n"/>
    </row>
    <row r="270" ht="15.75" customHeight="1">
      <c r="B270" s="2" t="n"/>
      <c r="E270" s="4" t="n"/>
    </row>
    <row r="271" ht="15.75" customHeight="1">
      <c r="B271" s="2" t="n"/>
      <c r="E271" s="4" t="n"/>
    </row>
    <row r="272" ht="15.75" customHeight="1">
      <c r="B272" s="2" t="n"/>
      <c r="E272" s="4" t="n"/>
    </row>
    <row r="273" ht="15.75" customHeight="1">
      <c r="B273" s="2" t="n"/>
      <c r="E273" s="4" t="n"/>
    </row>
    <row r="274" ht="15.75" customHeight="1">
      <c r="B274" s="2" t="n"/>
      <c r="E274" s="4" t="n"/>
    </row>
    <row r="275" ht="15.75" customHeight="1">
      <c r="B275" s="2" t="n"/>
      <c r="E275" s="4" t="n"/>
    </row>
    <row r="276" ht="15.75" customHeight="1">
      <c r="B276" s="2" t="n"/>
      <c r="E276" s="4" t="n"/>
    </row>
    <row r="277" ht="15.75" customHeight="1">
      <c r="B277" s="2" t="n"/>
      <c r="E277" s="4" t="n"/>
    </row>
    <row r="278" ht="15.75" customHeight="1">
      <c r="B278" s="2" t="n"/>
      <c r="E278" s="4" t="n"/>
    </row>
    <row r="279" ht="15.75" customHeight="1">
      <c r="B279" s="2" t="n"/>
      <c r="E279" s="4" t="n"/>
    </row>
    <row r="280" ht="15.75" customHeight="1">
      <c r="B280" s="2" t="n"/>
      <c r="E280" s="4" t="n"/>
    </row>
    <row r="281" ht="15.75" customHeight="1">
      <c r="B281" s="2" t="n"/>
      <c r="E281" s="4" t="n"/>
    </row>
    <row r="282" ht="15.75" customHeight="1">
      <c r="B282" s="2" t="n"/>
      <c r="E282" s="4" t="n"/>
    </row>
    <row r="283" ht="15.75" customHeight="1">
      <c r="B283" s="2" t="n"/>
      <c r="E283" s="4" t="n"/>
    </row>
    <row r="284" ht="15.75" customHeight="1">
      <c r="B284" s="2" t="n"/>
      <c r="E284" s="4" t="n"/>
    </row>
    <row r="285" ht="15.75" customHeight="1">
      <c r="B285" s="2" t="n"/>
      <c r="E285" s="4" t="n"/>
    </row>
    <row r="286" ht="15.75" customHeight="1">
      <c r="B286" s="2" t="n"/>
      <c r="E286" s="4" t="n"/>
    </row>
    <row r="287" ht="15.75" customHeight="1">
      <c r="B287" s="2" t="n"/>
      <c r="E287" s="4" t="n"/>
    </row>
    <row r="288" ht="15.75" customHeight="1">
      <c r="B288" s="2" t="n"/>
      <c r="E288" s="4" t="n"/>
    </row>
    <row r="289" ht="15.75" customHeight="1">
      <c r="B289" s="2" t="n"/>
      <c r="E289" s="4" t="n"/>
    </row>
    <row r="290" ht="15.75" customHeight="1">
      <c r="B290" s="2" t="n"/>
      <c r="E290" s="4" t="n"/>
    </row>
    <row r="291" ht="15.75" customHeight="1">
      <c r="B291" s="2" t="n"/>
      <c r="E291" s="4" t="n"/>
    </row>
    <row r="292" ht="15.75" customHeight="1">
      <c r="B292" s="2" t="n"/>
      <c r="E292" s="4" t="n"/>
    </row>
    <row r="293" ht="15.75" customHeight="1">
      <c r="B293" s="2" t="n"/>
      <c r="E293" s="4" t="n"/>
    </row>
    <row r="294" ht="15.75" customHeight="1">
      <c r="B294" s="2" t="n"/>
      <c r="E294" s="4" t="n"/>
    </row>
    <row r="295" ht="15.75" customHeight="1">
      <c r="B295" s="2" t="n"/>
      <c r="E295" s="4" t="n"/>
    </row>
    <row r="296" ht="15.75" customHeight="1">
      <c r="B296" s="2" t="n"/>
      <c r="E296" s="4" t="n"/>
    </row>
    <row r="297" ht="15.75" customHeight="1">
      <c r="B297" s="2" t="n"/>
      <c r="E297" s="4" t="n"/>
    </row>
    <row r="298" ht="15.75" customHeight="1">
      <c r="B298" s="2" t="n"/>
      <c r="E298" s="4" t="n"/>
    </row>
    <row r="299" ht="15.75" customHeight="1">
      <c r="B299" s="2" t="n"/>
      <c r="E299" s="4" t="n"/>
    </row>
    <row r="300" ht="15.75" customHeight="1">
      <c r="B300" s="2" t="n"/>
      <c r="E300" s="4" t="n"/>
    </row>
    <row r="301" ht="15.75" customHeight="1">
      <c r="B301" s="2" t="n"/>
      <c r="E301" s="4" t="n"/>
    </row>
    <row r="302" ht="15.75" customHeight="1">
      <c r="B302" s="2" t="n"/>
      <c r="E302" s="4" t="n"/>
    </row>
    <row r="303" ht="15.75" customHeight="1">
      <c r="B303" s="2" t="n"/>
      <c r="E303" s="4" t="n"/>
    </row>
    <row r="304" ht="15.75" customHeight="1">
      <c r="B304" s="2" t="n"/>
      <c r="E304" s="4" t="n"/>
    </row>
    <row r="305" ht="15.75" customHeight="1">
      <c r="B305" s="2" t="n"/>
      <c r="E305" s="4" t="n"/>
    </row>
    <row r="306" ht="15.75" customHeight="1">
      <c r="B306" s="2" t="n"/>
      <c r="E306" s="4" t="n"/>
    </row>
    <row r="307" ht="15.75" customHeight="1">
      <c r="B307" s="2" t="n"/>
      <c r="E307" s="4" t="n"/>
    </row>
    <row r="308" ht="15.75" customHeight="1">
      <c r="B308" s="2" t="n"/>
      <c r="E308" s="4" t="n"/>
    </row>
    <row r="309" ht="15.75" customHeight="1">
      <c r="B309" s="2" t="n"/>
      <c r="E309" s="4" t="n"/>
    </row>
    <row r="310" ht="15.75" customHeight="1">
      <c r="B310" s="2" t="n"/>
      <c r="E310" s="4" t="n"/>
    </row>
    <row r="311" ht="15.75" customHeight="1">
      <c r="B311" s="2" t="n"/>
      <c r="E311" s="4" t="n"/>
    </row>
    <row r="312" ht="15.75" customHeight="1">
      <c r="B312" s="2" t="n"/>
      <c r="E312" s="4" t="n"/>
    </row>
    <row r="313" ht="15.75" customHeight="1">
      <c r="B313" s="2" t="n"/>
      <c r="E313" s="4" t="n"/>
    </row>
    <row r="314" ht="15.75" customHeight="1">
      <c r="B314" s="2" t="n"/>
      <c r="E314" s="4" t="n"/>
    </row>
    <row r="315" ht="15.75" customHeight="1">
      <c r="B315" s="2" t="n"/>
      <c r="E315" s="4" t="n"/>
    </row>
    <row r="316" ht="15.75" customHeight="1">
      <c r="B316" s="2" t="n"/>
      <c r="E316" s="4" t="n"/>
    </row>
    <row r="317" ht="15.75" customHeight="1">
      <c r="B317" s="2" t="n"/>
      <c r="E317" s="4" t="n"/>
    </row>
    <row r="318" ht="15.75" customHeight="1">
      <c r="B318" s="2" t="n"/>
      <c r="E318" s="4" t="n"/>
    </row>
    <row r="319" ht="15.75" customHeight="1">
      <c r="B319" s="2" t="n"/>
      <c r="E319" s="4" t="n"/>
    </row>
    <row r="320" ht="15.75" customHeight="1">
      <c r="B320" s="2" t="n"/>
      <c r="E320" s="4" t="n"/>
    </row>
    <row r="321" ht="15.75" customHeight="1">
      <c r="B321" s="2" t="n"/>
      <c r="E321" s="4" t="n"/>
    </row>
    <row r="322" ht="15.75" customHeight="1">
      <c r="B322" s="2" t="n"/>
      <c r="E322" s="4" t="n"/>
    </row>
    <row r="323" ht="15.75" customHeight="1">
      <c r="B323" s="2" t="n"/>
      <c r="E323" s="4" t="n"/>
    </row>
    <row r="324" ht="15.75" customHeight="1">
      <c r="B324" s="2" t="n"/>
      <c r="E324" s="4" t="n"/>
    </row>
    <row r="325" ht="15.75" customHeight="1">
      <c r="B325" s="2" t="n"/>
      <c r="E325" s="4" t="n"/>
    </row>
    <row r="326" ht="15.75" customHeight="1">
      <c r="B326" s="2" t="n"/>
      <c r="E326" s="4" t="n"/>
    </row>
    <row r="327" ht="15.75" customHeight="1">
      <c r="B327" s="2" t="n"/>
      <c r="E327" s="4" t="n"/>
    </row>
    <row r="328" ht="15.75" customHeight="1">
      <c r="B328" s="2" t="n"/>
      <c r="E328" s="4" t="n"/>
    </row>
    <row r="329" ht="15.75" customHeight="1">
      <c r="B329" s="2" t="n"/>
      <c r="E329" s="4" t="n"/>
    </row>
    <row r="330" ht="15.75" customHeight="1">
      <c r="B330" s="2" t="n"/>
      <c r="E330" s="4" t="n"/>
    </row>
    <row r="331" ht="15.75" customHeight="1">
      <c r="B331" s="2" t="n"/>
      <c r="E331" s="4" t="n"/>
    </row>
    <row r="332" ht="15.75" customHeight="1">
      <c r="B332" s="2" t="n"/>
      <c r="E332" s="4" t="n"/>
    </row>
    <row r="333" ht="15.75" customHeight="1">
      <c r="B333" s="2" t="n"/>
      <c r="E333" s="4" t="n"/>
    </row>
    <row r="334" ht="15.75" customHeight="1">
      <c r="B334" s="2" t="n"/>
      <c r="E334" s="4" t="n"/>
    </row>
    <row r="335" ht="15.75" customHeight="1">
      <c r="B335" s="2" t="n"/>
      <c r="E335" s="4" t="n"/>
    </row>
    <row r="336" ht="15.75" customHeight="1">
      <c r="B336" s="2" t="n"/>
      <c r="E336" s="4" t="n"/>
    </row>
    <row r="337" ht="15.75" customHeight="1">
      <c r="B337" s="2" t="n"/>
      <c r="E337" s="4" t="n"/>
    </row>
    <row r="338" ht="15.75" customHeight="1">
      <c r="B338" s="2" t="n"/>
      <c r="E338" s="4" t="n"/>
    </row>
    <row r="339" ht="15.75" customHeight="1">
      <c r="B339" s="2" t="n"/>
      <c r="E339" s="4" t="n"/>
    </row>
    <row r="340" ht="15.75" customHeight="1">
      <c r="B340" s="2" t="n"/>
      <c r="E340" s="4" t="n"/>
    </row>
    <row r="341" ht="15.75" customHeight="1">
      <c r="B341" s="2" t="n"/>
      <c r="E341" s="4" t="n"/>
    </row>
    <row r="342" ht="15.75" customHeight="1">
      <c r="B342" s="2" t="n"/>
      <c r="E342" s="4" t="n"/>
    </row>
    <row r="343" ht="15.75" customHeight="1">
      <c r="B343" s="2" t="n"/>
      <c r="E343" s="4" t="n"/>
    </row>
    <row r="344" ht="15.75" customHeight="1">
      <c r="B344" s="2" t="n"/>
      <c r="E344" s="4" t="n"/>
    </row>
    <row r="345" ht="15.75" customHeight="1">
      <c r="B345" s="2" t="n"/>
      <c r="E345" s="4" t="n"/>
    </row>
    <row r="346" ht="15.75" customHeight="1">
      <c r="B346" s="2" t="n"/>
      <c r="E346" s="4" t="n"/>
    </row>
    <row r="347" ht="15.75" customHeight="1">
      <c r="B347" s="2" t="n"/>
      <c r="E347" s="4" t="n"/>
    </row>
    <row r="348" ht="15.75" customHeight="1">
      <c r="B348" s="2" t="n"/>
      <c r="E348" s="4" t="n"/>
    </row>
    <row r="349" ht="15.75" customHeight="1">
      <c r="B349" s="2" t="n"/>
      <c r="E349" s="4" t="n"/>
    </row>
    <row r="350" ht="15.75" customHeight="1">
      <c r="B350" s="2" t="n"/>
      <c r="E350" s="4" t="n"/>
    </row>
    <row r="351" ht="15.75" customHeight="1">
      <c r="B351" s="2" t="n"/>
      <c r="E351" s="4" t="n"/>
    </row>
    <row r="352" ht="15.75" customHeight="1">
      <c r="B352" s="2" t="n"/>
      <c r="E352" s="4" t="n"/>
    </row>
    <row r="353" ht="15.75" customHeight="1">
      <c r="B353" s="2" t="n"/>
      <c r="E353" s="4" t="n"/>
    </row>
    <row r="354" ht="15.75" customHeight="1">
      <c r="B354" s="2" t="n"/>
      <c r="E354" s="4" t="n"/>
    </row>
    <row r="355" ht="15.75" customHeight="1">
      <c r="B355" s="2" t="n"/>
      <c r="E355" s="4" t="n"/>
    </row>
    <row r="356" ht="15.75" customHeight="1">
      <c r="B356" s="2" t="n"/>
      <c r="E356" s="4" t="n"/>
    </row>
    <row r="357" ht="15.75" customHeight="1">
      <c r="B357" s="2" t="n"/>
      <c r="E357" s="4" t="n"/>
    </row>
    <row r="358" ht="15.75" customHeight="1">
      <c r="B358" s="2" t="n"/>
      <c r="E358" s="4" t="n"/>
    </row>
    <row r="359" ht="15.75" customHeight="1">
      <c r="B359" s="2" t="n"/>
      <c r="E359" s="4" t="n"/>
    </row>
    <row r="360" ht="15.75" customHeight="1">
      <c r="B360" s="2" t="n"/>
      <c r="E360" s="4" t="n"/>
    </row>
    <row r="361" ht="15.75" customHeight="1">
      <c r="B361" s="2" t="n"/>
      <c r="E361" s="4" t="n"/>
    </row>
    <row r="362" ht="15.75" customHeight="1">
      <c r="B362" s="2" t="n"/>
      <c r="E362" s="4" t="n"/>
    </row>
    <row r="363" ht="15.75" customHeight="1">
      <c r="B363" s="2" t="n"/>
      <c r="E363" s="4" t="n"/>
    </row>
    <row r="364" ht="15.75" customHeight="1">
      <c r="B364" s="2" t="n"/>
      <c r="E364" s="4" t="n"/>
    </row>
    <row r="365" ht="15.75" customHeight="1">
      <c r="B365" s="2" t="n"/>
      <c r="E365" s="4" t="n"/>
    </row>
    <row r="366" ht="15.75" customHeight="1">
      <c r="B366" s="2" t="n"/>
      <c r="E366" s="4" t="n"/>
    </row>
    <row r="367" ht="15.75" customHeight="1">
      <c r="B367" s="2" t="n"/>
      <c r="E367" s="4" t="n"/>
    </row>
    <row r="368" ht="15.75" customHeight="1">
      <c r="B368" s="2" t="n"/>
      <c r="E368" s="4" t="n"/>
    </row>
    <row r="369" ht="15.75" customHeight="1">
      <c r="B369" s="2" t="n"/>
      <c r="E369" s="4" t="n"/>
    </row>
    <row r="370" ht="15.75" customHeight="1">
      <c r="B370" s="2" t="n"/>
      <c r="E370" s="4" t="n"/>
    </row>
    <row r="371" ht="15.75" customHeight="1">
      <c r="B371" s="2" t="n"/>
      <c r="E371" s="4" t="n"/>
    </row>
    <row r="372" ht="15.75" customHeight="1">
      <c r="B372" s="2" t="n"/>
      <c r="E372" s="4" t="n"/>
    </row>
    <row r="373" ht="15.75" customHeight="1">
      <c r="B373" s="2" t="n"/>
      <c r="E373" s="4" t="n"/>
    </row>
    <row r="374" ht="15.75" customHeight="1">
      <c r="B374" s="2" t="n"/>
      <c r="E374" s="4" t="n"/>
    </row>
    <row r="375" ht="15.75" customHeight="1">
      <c r="B375" s="2" t="n"/>
      <c r="E375" s="4" t="n"/>
    </row>
    <row r="376" ht="15.75" customHeight="1">
      <c r="B376" s="2" t="n"/>
      <c r="E376" s="4" t="n"/>
    </row>
    <row r="377" ht="15.75" customHeight="1">
      <c r="B377" s="2" t="n"/>
      <c r="E377" s="4" t="n"/>
    </row>
    <row r="378" ht="15.75" customHeight="1">
      <c r="B378" s="2" t="n"/>
      <c r="E378" s="4" t="n"/>
    </row>
    <row r="379" ht="15.75" customHeight="1">
      <c r="B379" s="2" t="n"/>
      <c r="E379" s="4" t="n"/>
    </row>
    <row r="380" ht="15.75" customHeight="1">
      <c r="B380" s="2" t="n"/>
      <c r="E380" s="4" t="n"/>
    </row>
    <row r="381" ht="15.75" customHeight="1">
      <c r="B381" s="2" t="n"/>
      <c r="E381" s="4" t="n"/>
    </row>
    <row r="382" ht="15.75" customHeight="1">
      <c r="B382" s="2" t="n"/>
      <c r="E382" s="4" t="n"/>
    </row>
    <row r="383" ht="15.75" customHeight="1">
      <c r="B383" s="2" t="n"/>
      <c r="E383" s="4" t="n"/>
    </row>
    <row r="384" ht="15.75" customHeight="1">
      <c r="B384" s="2" t="n"/>
      <c r="E384" s="4" t="n"/>
    </row>
    <row r="385" ht="15.75" customHeight="1">
      <c r="B385" s="2" t="n"/>
      <c r="E385" s="4" t="n"/>
    </row>
    <row r="386" ht="15.75" customHeight="1">
      <c r="B386" s="2" t="n"/>
      <c r="E386" s="4" t="n"/>
    </row>
    <row r="387" ht="15.75" customHeight="1">
      <c r="B387" s="2" t="n"/>
      <c r="E387" s="4" t="n"/>
    </row>
    <row r="388" ht="15.75" customHeight="1">
      <c r="B388" s="2" t="n"/>
      <c r="E388" s="4" t="n"/>
    </row>
    <row r="389" ht="15.75" customHeight="1">
      <c r="B389" s="2" t="n"/>
      <c r="E389" s="4" t="n"/>
    </row>
    <row r="390" ht="15.75" customHeight="1">
      <c r="B390" s="2" t="n"/>
      <c r="E390" s="4" t="n"/>
    </row>
    <row r="391" ht="15.75" customHeight="1">
      <c r="B391" s="2" t="n"/>
      <c r="E391" s="4" t="n"/>
    </row>
    <row r="392" ht="15.75" customHeight="1">
      <c r="B392" s="2" t="n"/>
      <c r="E392" s="4" t="n"/>
    </row>
    <row r="393" ht="15.75" customHeight="1">
      <c r="B393" s="2" t="n"/>
      <c r="E393" s="4" t="n"/>
    </row>
    <row r="394" ht="15.75" customHeight="1">
      <c r="B394" s="2" t="n"/>
      <c r="E394" s="4" t="n"/>
    </row>
    <row r="395" ht="15.75" customHeight="1">
      <c r="B395" s="2" t="n"/>
      <c r="E395" s="4" t="n"/>
    </row>
    <row r="396" ht="15.75" customHeight="1">
      <c r="B396" s="2" t="n"/>
      <c r="E396" s="4" t="n"/>
    </row>
    <row r="397" ht="15.75" customHeight="1">
      <c r="B397" s="2" t="n"/>
      <c r="E397" s="4" t="n"/>
    </row>
    <row r="398" ht="15.75" customHeight="1">
      <c r="B398" s="2" t="n"/>
      <c r="E398" s="4" t="n"/>
    </row>
    <row r="399" ht="15.75" customHeight="1">
      <c r="B399" s="2" t="n"/>
      <c r="E399" s="4" t="n"/>
    </row>
    <row r="400" ht="15.75" customHeight="1">
      <c r="B400" s="2" t="n"/>
      <c r="E400" s="4" t="n"/>
    </row>
    <row r="401" ht="15.75" customHeight="1">
      <c r="B401" s="2" t="n"/>
      <c r="E401" s="4" t="n"/>
    </row>
    <row r="402" ht="15.75" customHeight="1">
      <c r="B402" s="2" t="n"/>
      <c r="E402" s="4" t="n"/>
    </row>
    <row r="403" ht="15.75" customHeight="1">
      <c r="B403" s="2" t="n"/>
      <c r="E403" s="4" t="n"/>
    </row>
    <row r="404" ht="15.75" customHeight="1">
      <c r="B404" s="2" t="n"/>
      <c r="E404" s="4" t="n"/>
    </row>
    <row r="405" ht="15.75" customHeight="1">
      <c r="B405" s="2" t="n"/>
      <c r="E405" s="4" t="n"/>
    </row>
    <row r="406" ht="15.75" customHeight="1">
      <c r="B406" s="2" t="n"/>
      <c r="E406" s="4" t="n"/>
    </row>
    <row r="407" ht="15.75" customHeight="1">
      <c r="B407" s="2" t="n"/>
      <c r="E407" s="4" t="n"/>
    </row>
    <row r="408" ht="15.75" customHeight="1">
      <c r="B408" s="2" t="n"/>
      <c r="E408" s="4" t="n"/>
    </row>
    <row r="409" ht="15.75" customHeight="1">
      <c r="B409" s="2" t="n"/>
      <c r="E409" s="4" t="n"/>
    </row>
    <row r="410" ht="15.75" customHeight="1">
      <c r="B410" s="2" t="n"/>
      <c r="E410" s="4" t="n"/>
    </row>
    <row r="411" ht="15.75" customHeight="1">
      <c r="B411" s="2" t="n"/>
      <c r="E411" s="4" t="n"/>
    </row>
    <row r="412" ht="15.75" customHeight="1">
      <c r="B412" s="2" t="n"/>
      <c r="E412" s="4" t="n"/>
    </row>
    <row r="413" ht="15.75" customHeight="1">
      <c r="B413" s="2" t="n"/>
      <c r="E413" s="4" t="n"/>
    </row>
    <row r="414" ht="15.75" customHeight="1">
      <c r="B414" s="2" t="n"/>
      <c r="E414" s="4" t="n"/>
    </row>
    <row r="415" ht="15.75" customHeight="1">
      <c r="B415" s="2" t="n"/>
      <c r="E415" s="4" t="n"/>
    </row>
    <row r="416" ht="15.75" customHeight="1">
      <c r="B416" s="2" t="n"/>
      <c r="E416" s="4" t="n"/>
    </row>
    <row r="417" ht="15.75" customHeight="1">
      <c r="B417" s="2" t="n"/>
      <c r="E417" s="4" t="n"/>
    </row>
    <row r="418" ht="15.75" customHeight="1">
      <c r="B418" s="2" t="n"/>
      <c r="E418" s="4" t="n"/>
    </row>
    <row r="419" ht="15.75" customHeight="1">
      <c r="B419" s="2" t="n"/>
      <c r="E419" s="4" t="n"/>
    </row>
    <row r="420" ht="15.75" customHeight="1">
      <c r="B420" s="2" t="n"/>
      <c r="E420" s="4" t="n"/>
    </row>
    <row r="421" ht="15.75" customHeight="1">
      <c r="B421" s="2" t="n"/>
      <c r="E421" s="4" t="n"/>
    </row>
    <row r="422" ht="15.75" customHeight="1">
      <c r="B422" s="2" t="n"/>
      <c r="E422" s="4" t="n"/>
    </row>
    <row r="423" ht="15.75" customHeight="1">
      <c r="B423" s="2" t="n"/>
      <c r="E423" s="4" t="n"/>
    </row>
    <row r="424" ht="15.75" customHeight="1">
      <c r="B424" s="2" t="n"/>
      <c r="E424" s="4" t="n"/>
    </row>
    <row r="425" ht="15.75" customHeight="1">
      <c r="B425" s="2" t="n"/>
      <c r="E425" s="4" t="n"/>
    </row>
    <row r="426" ht="15.75" customHeight="1">
      <c r="B426" s="2" t="n"/>
      <c r="E426" s="4" t="n"/>
    </row>
    <row r="427" ht="15.75" customHeight="1">
      <c r="B427" s="2" t="n"/>
      <c r="E427" s="4" t="n"/>
    </row>
    <row r="428" ht="15.75" customHeight="1">
      <c r="B428" s="2" t="n"/>
      <c r="E428" s="4" t="n"/>
    </row>
    <row r="429" ht="15.75" customHeight="1">
      <c r="B429" s="2" t="n"/>
      <c r="E429" s="4" t="n"/>
    </row>
    <row r="430" ht="15.75" customHeight="1">
      <c r="B430" s="2" t="n"/>
      <c r="E430" s="4" t="n"/>
    </row>
    <row r="431" ht="15.75" customHeight="1">
      <c r="B431" s="2" t="n"/>
      <c r="E431" s="4" t="n"/>
    </row>
    <row r="432" ht="15.75" customHeight="1">
      <c r="B432" s="2" t="n"/>
      <c r="E432" s="4" t="n"/>
    </row>
    <row r="433" ht="15.75" customHeight="1">
      <c r="B433" s="2" t="n"/>
      <c r="E433" s="4" t="n"/>
    </row>
    <row r="434" ht="15.75" customHeight="1">
      <c r="B434" s="2" t="n"/>
      <c r="E434" s="4" t="n"/>
    </row>
    <row r="435" ht="15.75" customHeight="1">
      <c r="B435" s="2" t="n"/>
      <c r="E435" s="4" t="n"/>
    </row>
    <row r="436" ht="15.75" customHeight="1">
      <c r="B436" s="2" t="n"/>
      <c r="E436" s="4" t="n"/>
    </row>
    <row r="437" ht="15.75" customHeight="1">
      <c r="B437" s="2" t="n"/>
      <c r="E437" s="4" t="n"/>
    </row>
    <row r="438" ht="15.75" customHeight="1">
      <c r="B438" s="2" t="n"/>
      <c r="E438" s="4" t="n"/>
    </row>
    <row r="439" ht="15.75" customHeight="1">
      <c r="B439" s="2" t="n"/>
      <c r="E439" s="4" t="n"/>
    </row>
    <row r="440" ht="15.75" customHeight="1">
      <c r="B440" s="2" t="n"/>
      <c r="E440" s="4" t="n"/>
    </row>
    <row r="441" ht="15.75" customHeight="1">
      <c r="B441" s="2" t="n"/>
      <c r="E441" s="4" t="n"/>
    </row>
    <row r="442" ht="15.75" customHeight="1">
      <c r="B442" s="2" t="n"/>
      <c r="E442" s="4" t="n"/>
    </row>
    <row r="443" ht="15.75" customHeight="1">
      <c r="B443" s="2" t="n"/>
      <c r="E443" s="4" t="n"/>
    </row>
    <row r="444" ht="15.75" customHeight="1">
      <c r="B444" s="2" t="n"/>
      <c r="E444" s="4" t="n"/>
    </row>
    <row r="445" ht="15.75" customHeight="1">
      <c r="B445" s="2" t="n"/>
      <c r="E445" s="4" t="n"/>
    </row>
    <row r="446" ht="15.75" customHeight="1">
      <c r="B446" s="2" t="n"/>
      <c r="E446" s="4" t="n"/>
    </row>
    <row r="447" ht="15.75" customHeight="1">
      <c r="B447" s="2" t="n"/>
      <c r="E447" s="4" t="n"/>
    </row>
    <row r="448" ht="15.75" customHeight="1">
      <c r="B448" s="2" t="n"/>
      <c r="E448" s="4" t="n"/>
    </row>
    <row r="449" ht="15.75" customHeight="1">
      <c r="B449" s="2" t="n"/>
      <c r="E449" s="4" t="n"/>
    </row>
    <row r="450" ht="15.75" customHeight="1">
      <c r="B450" s="2" t="n"/>
      <c r="E450" s="4" t="n"/>
    </row>
    <row r="451" ht="15.75" customHeight="1">
      <c r="B451" s="2" t="n"/>
      <c r="E451" s="4" t="n"/>
    </row>
    <row r="452" ht="15.75" customHeight="1">
      <c r="B452" s="2" t="n"/>
      <c r="E452" s="4" t="n"/>
    </row>
    <row r="453" ht="15.75" customHeight="1">
      <c r="B453" s="2" t="n"/>
      <c r="E453" s="4" t="n"/>
    </row>
    <row r="454" ht="15.75" customHeight="1">
      <c r="B454" s="2" t="n"/>
      <c r="E454" s="4" t="n"/>
    </row>
    <row r="455" ht="15.75" customHeight="1">
      <c r="B455" s="2" t="n"/>
      <c r="E455" s="4" t="n"/>
    </row>
    <row r="456" ht="15.75" customHeight="1">
      <c r="B456" s="2" t="n"/>
      <c r="E456" s="4" t="n"/>
    </row>
    <row r="457" ht="15.75" customHeight="1">
      <c r="B457" s="2" t="n"/>
      <c r="E457" s="4" t="n"/>
    </row>
    <row r="458" ht="15.75" customHeight="1">
      <c r="B458" s="2" t="n"/>
      <c r="E458" s="4" t="n"/>
    </row>
    <row r="459" ht="15.75" customHeight="1">
      <c r="B459" s="2" t="n"/>
      <c r="E459" s="4" t="n"/>
    </row>
    <row r="460" ht="15.75" customHeight="1">
      <c r="B460" s="2" t="n"/>
      <c r="E460" s="4" t="n"/>
    </row>
    <row r="461" ht="15.75" customHeight="1">
      <c r="B461" s="2" t="n"/>
      <c r="E461" s="4" t="n"/>
    </row>
    <row r="462" ht="15.75" customHeight="1">
      <c r="B462" s="2" t="n"/>
      <c r="E462" s="4" t="n"/>
    </row>
    <row r="463" ht="15.75" customHeight="1">
      <c r="B463" s="2" t="n"/>
      <c r="E463" s="4" t="n"/>
    </row>
    <row r="464" ht="15.75" customHeight="1">
      <c r="B464" s="2" t="n"/>
      <c r="E464" s="4" t="n"/>
    </row>
    <row r="465" ht="15.75" customHeight="1">
      <c r="B465" s="2" t="n"/>
      <c r="E465" s="4" t="n"/>
    </row>
    <row r="466" ht="15.75" customHeight="1">
      <c r="B466" s="2" t="n"/>
      <c r="E466" s="4" t="n"/>
    </row>
    <row r="467" ht="15.75" customHeight="1">
      <c r="B467" s="2" t="n"/>
      <c r="E467" s="4" t="n"/>
    </row>
    <row r="468" ht="15.75" customHeight="1">
      <c r="B468" s="2" t="n"/>
      <c r="E468" s="4" t="n"/>
    </row>
    <row r="469" ht="15.75" customHeight="1">
      <c r="B469" s="2" t="n"/>
      <c r="E469" s="4" t="n"/>
    </row>
    <row r="470" ht="15.75" customHeight="1">
      <c r="B470" s="2" t="n"/>
      <c r="E470" s="4" t="n"/>
    </row>
    <row r="471" ht="15.75" customHeight="1">
      <c r="B471" s="2" t="n"/>
      <c r="E471" s="4" t="n"/>
    </row>
    <row r="472" ht="15.75" customHeight="1">
      <c r="B472" s="2" t="n"/>
      <c r="E472" s="4" t="n"/>
    </row>
    <row r="473" ht="15.75" customHeight="1">
      <c r="B473" s="2" t="n"/>
      <c r="E473" s="4" t="n"/>
    </row>
    <row r="474" ht="15.75" customHeight="1">
      <c r="B474" s="2" t="n"/>
      <c r="E474" s="4" t="n"/>
    </row>
    <row r="475" ht="15.75" customHeight="1">
      <c r="B475" s="2" t="n"/>
      <c r="E475" s="4" t="n"/>
    </row>
    <row r="476" ht="15.75" customHeight="1">
      <c r="B476" s="2" t="n"/>
      <c r="E476" s="4" t="n"/>
    </row>
    <row r="477" ht="15.75" customHeight="1">
      <c r="B477" s="2" t="n"/>
      <c r="E477" s="4" t="n"/>
    </row>
    <row r="478" ht="15.75" customHeight="1">
      <c r="B478" s="2" t="n"/>
      <c r="E478" s="4" t="n"/>
    </row>
    <row r="479" ht="15.75" customHeight="1">
      <c r="B479" s="2" t="n"/>
      <c r="E479" s="4" t="n"/>
    </row>
    <row r="480" ht="15.75" customHeight="1">
      <c r="B480" s="2" t="n"/>
      <c r="E480" s="4" t="n"/>
    </row>
    <row r="481" ht="15.75" customHeight="1">
      <c r="B481" s="2" t="n"/>
      <c r="E481" s="4" t="n"/>
    </row>
    <row r="482" ht="15.75" customHeight="1">
      <c r="B482" s="2" t="n"/>
      <c r="E482" s="4" t="n"/>
    </row>
    <row r="483" ht="15.75" customHeight="1">
      <c r="B483" s="2" t="n"/>
      <c r="E483" s="4" t="n"/>
    </row>
    <row r="484" ht="15.75" customHeight="1">
      <c r="B484" s="2" t="n"/>
      <c r="E484" s="4" t="n"/>
    </row>
    <row r="485" ht="15.75" customHeight="1">
      <c r="B485" s="2" t="n"/>
      <c r="E485" s="4" t="n"/>
    </row>
    <row r="486" ht="15.75" customHeight="1">
      <c r="B486" s="2" t="n"/>
      <c r="E486" s="4" t="n"/>
    </row>
    <row r="487" ht="15.75" customHeight="1">
      <c r="B487" s="2" t="n"/>
      <c r="E487" s="4" t="n"/>
    </row>
    <row r="488" ht="15.75" customHeight="1">
      <c r="B488" s="2" t="n"/>
      <c r="E488" s="4" t="n"/>
    </row>
    <row r="489" ht="15.75" customHeight="1">
      <c r="B489" s="2" t="n"/>
      <c r="E489" s="4" t="n"/>
    </row>
    <row r="490" ht="15.75" customHeight="1">
      <c r="B490" s="2" t="n"/>
      <c r="E490" s="4" t="n"/>
    </row>
    <row r="491" ht="15.75" customHeight="1">
      <c r="B491" s="2" t="n"/>
      <c r="E491" s="4" t="n"/>
    </row>
    <row r="492" ht="15.75" customHeight="1">
      <c r="B492" s="2" t="n"/>
      <c r="E492" s="4" t="n"/>
    </row>
    <row r="493" ht="15.75" customHeight="1">
      <c r="B493" s="2" t="n"/>
      <c r="E493" s="4" t="n"/>
    </row>
    <row r="494" ht="15.75" customHeight="1">
      <c r="B494" s="2" t="n"/>
      <c r="E494" s="4" t="n"/>
    </row>
    <row r="495" ht="15.75" customHeight="1">
      <c r="B495" s="2" t="n"/>
      <c r="E495" s="4" t="n"/>
    </row>
    <row r="496" ht="15.75" customHeight="1">
      <c r="B496" s="2" t="n"/>
      <c r="E496" s="4" t="n"/>
    </row>
    <row r="497" ht="15.75" customHeight="1">
      <c r="B497" s="2" t="n"/>
      <c r="E497" s="4" t="n"/>
    </row>
    <row r="498" ht="15.75" customHeight="1">
      <c r="B498" s="2" t="n"/>
      <c r="E498" s="4" t="n"/>
    </row>
    <row r="499" ht="15.75" customHeight="1">
      <c r="B499" s="2" t="n"/>
      <c r="E499" s="4" t="n"/>
    </row>
    <row r="500" ht="15.75" customHeight="1">
      <c r="B500" s="2" t="n"/>
      <c r="E500" s="4" t="n"/>
    </row>
    <row r="501" ht="15.75" customHeight="1">
      <c r="B501" s="2" t="n"/>
      <c r="E501" s="4" t="n"/>
    </row>
    <row r="502" ht="15.75" customHeight="1">
      <c r="B502" s="2" t="n"/>
      <c r="E502" s="4" t="n"/>
    </row>
    <row r="503" ht="15.75" customHeight="1">
      <c r="B503" s="2" t="n"/>
      <c r="E503" s="4" t="n"/>
    </row>
    <row r="504" ht="15.75" customHeight="1">
      <c r="B504" s="2" t="n"/>
      <c r="E504" s="4" t="n"/>
    </row>
    <row r="505" ht="15.75" customHeight="1">
      <c r="B505" s="2" t="n"/>
      <c r="E505" s="4" t="n"/>
    </row>
    <row r="506" ht="15.75" customHeight="1">
      <c r="B506" s="2" t="n"/>
      <c r="E506" s="4" t="n"/>
    </row>
    <row r="507" ht="15.75" customHeight="1">
      <c r="B507" s="2" t="n"/>
      <c r="E507" s="4" t="n"/>
    </row>
    <row r="508" ht="15.75" customHeight="1">
      <c r="B508" s="2" t="n"/>
      <c r="E508" s="4" t="n"/>
    </row>
    <row r="509" ht="15.75" customHeight="1">
      <c r="B509" s="2" t="n"/>
      <c r="E509" s="4" t="n"/>
    </row>
    <row r="510" ht="15.75" customHeight="1">
      <c r="B510" s="2" t="n"/>
      <c r="E510" s="4" t="n"/>
    </row>
    <row r="511" ht="15.75" customHeight="1">
      <c r="B511" s="2" t="n"/>
      <c r="E511" s="4" t="n"/>
    </row>
    <row r="512" ht="15.75" customHeight="1">
      <c r="B512" s="2" t="n"/>
      <c r="E512" s="4" t="n"/>
    </row>
    <row r="513" ht="15.75" customHeight="1">
      <c r="B513" s="2" t="n"/>
      <c r="E513" s="4" t="n"/>
    </row>
    <row r="514" ht="15.75" customHeight="1">
      <c r="B514" s="2" t="n"/>
      <c r="E514" s="4" t="n"/>
    </row>
    <row r="515" ht="15.75" customHeight="1">
      <c r="B515" s="2" t="n"/>
      <c r="E515" s="4" t="n"/>
    </row>
    <row r="516" ht="15.75" customHeight="1">
      <c r="B516" s="2" t="n"/>
      <c r="E516" s="4" t="n"/>
    </row>
    <row r="517" ht="15.75" customHeight="1">
      <c r="B517" s="2" t="n"/>
      <c r="E517" s="4" t="n"/>
    </row>
    <row r="518" ht="15.75" customHeight="1">
      <c r="B518" s="2" t="n"/>
      <c r="E518" s="4" t="n"/>
    </row>
    <row r="519" ht="15.75" customHeight="1">
      <c r="B519" s="2" t="n"/>
      <c r="E519" s="4" t="n"/>
    </row>
    <row r="520" ht="15.75" customHeight="1">
      <c r="B520" s="2" t="n"/>
      <c r="E520" s="4" t="n"/>
    </row>
    <row r="521" ht="15.75" customHeight="1">
      <c r="B521" s="2" t="n"/>
      <c r="E521" s="4" t="n"/>
    </row>
    <row r="522" ht="15.75" customHeight="1">
      <c r="B522" s="2" t="n"/>
      <c r="E522" s="4" t="n"/>
    </row>
    <row r="523" ht="15.75" customHeight="1">
      <c r="B523" s="2" t="n"/>
      <c r="E523" s="4" t="n"/>
    </row>
    <row r="524" ht="15.75" customHeight="1">
      <c r="B524" s="2" t="n"/>
      <c r="E524" s="4" t="n"/>
    </row>
    <row r="525" ht="15.75" customHeight="1">
      <c r="B525" s="2" t="n"/>
      <c r="E525" s="4" t="n"/>
    </row>
    <row r="526" ht="15.75" customHeight="1">
      <c r="B526" s="2" t="n"/>
      <c r="E526" s="4" t="n"/>
    </row>
    <row r="527" ht="15.75" customHeight="1">
      <c r="B527" s="2" t="n"/>
      <c r="E527" s="4" t="n"/>
    </row>
    <row r="528" ht="15.75" customHeight="1">
      <c r="B528" s="2" t="n"/>
      <c r="E528" s="4" t="n"/>
    </row>
    <row r="529" ht="15.75" customHeight="1">
      <c r="B529" s="2" t="n"/>
      <c r="E529" s="4" t="n"/>
    </row>
    <row r="530" ht="15.75" customHeight="1">
      <c r="B530" s="2" t="n"/>
      <c r="E530" s="4" t="n"/>
    </row>
    <row r="531" ht="15.75" customHeight="1">
      <c r="B531" s="2" t="n"/>
      <c r="E531" s="4" t="n"/>
    </row>
    <row r="532" ht="15.75" customHeight="1">
      <c r="B532" s="2" t="n"/>
      <c r="E532" s="4" t="n"/>
    </row>
    <row r="533" ht="15.75" customHeight="1">
      <c r="B533" s="2" t="n"/>
      <c r="E533" s="4" t="n"/>
    </row>
    <row r="534" ht="15.75" customHeight="1">
      <c r="B534" s="2" t="n"/>
      <c r="E534" s="4" t="n"/>
    </row>
    <row r="535" ht="15.75" customHeight="1">
      <c r="B535" s="2" t="n"/>
      <c r="E535" s="4" t="n"/>
    </row>
    <row r="536" ht="15.75" customHeight="1">
      <c r="B536" s="2" t="n"/>
      <c r="E536" s="4" t="n"/>
    </row>
    <row r="537" ht="15.75" customHeight="1">
      <c r="B537" s="2" t="n"/>
      <c r="E537" s="4" t="n"/>
    </row>
    <row r="538" ht="15.75" customHeight="1">
      <c r="B538" s="2" t="n"/>
      <c r="E538" s="4" t="n"/>
    </row>
    <row r="539" ht="15.75" customHeight="1">
      <c r="B539" s="2" t="n"/>
      <c r="E539" s="4" t="n"/>
    </row>
    <row r="540" ht="15.75" customHeight="1">
      <c r="B540" s="2" t="n"/>
      <c r="E540" s="4" t="n"/>
    </row>
    <row r="541" ht="15.75" customHeight="1">
      <c r="B541" s="2" t="n"/>
      <c r="E541" s="4" t="n"/>
    </row>
    <row r="542" ht="15.75" customHeight="1">
      <c r="B542" s="2" t="n"/>
      <c r="E542" s="4" t="n"/>
    </row>
    <row r="543" ht="15.75" customHeight="1">
      <c r="B543" s="2" t="n"/>
      <c r="E543" s="4" t="n"/>
    </row>
    <row r="544" ht="15.75" customHeight="1">
      <c r="B544" s="2" t="n"/>
      <c r="E544" s="4" t="n"/>
    </row>
    <row r="545" ht="15.75" customHeight="1">
      <c r="B545" s="2" t="n"/>
      <c r="E545" s="4" t="n"/>
    </row>
    <row r="546" ht="15.75" customHeight="1">
      <c r="B546" s="2" t="n"/>
      <c r="E546" s="4" t="n"/>
    </row>
    <row r="547" ht="15.75" customHeight="1">
      <c r="B547" s="2" t="n"/>
      <c r="E547" s="4" t="n"/>
    </row>
    <row r="548" ht="15.75" customHeight="1">
      <c r="B548" s="2" t="n"/>
      <c r="E548" s="4" t="n"/>
    </row>
    <row r="549" ht="15.75" customHeight="1">
      <c r="B549" s="2" t="n"/>
      <c r="E549" s="4" t="n"/>
    </row>
    <row r="550" ht="15.75" customHeight="1">
      <c r="B550" s="2" t="n"/>
      <c r="E550" s="4" t="n"/>
    </row>
    <row r="551" ht="15.75" customHeight="1">
      <c r="B551" s="2" t="n"/>
      <c r="E551" s="4" t="n"/>
    </row>
    <row r="552" ht="15.75" customHeight="1">
      <c r="B552" s="2" t="n"/>
      <c r="E552" s="4" t="n"/>
    </row>
    <row r="553" ht="15.75" customHeight="1">
      <c r="B553" s="2" t="n"/>
      <c r="E553" s="4" t="n"/>
    </row>
    <row r="554" ht="15.75" customHeight="1">
      <c r="B554" s="2" t="n"/>
      <c r="E554" s="4" t="n"/>
    </row>
    <row r="555" ht="15.75" customHeight="1">
      <c r="B555" s="2" t="n"/>
      <c r="E555" s="4" t="n"/>
    </row>
    <row r="556" ht="15.75" customHeight="1">
      <c r="B556" s="2" t="n"/>
      <c r="E556" s="4" t="n"/>
    </row>
    <row r="557" ht="15.75" customHeight="1">
      <c r="B557" s="2" t="n"/>
      <c r="E557" s="4" t="n"/>
    </row>
    <row r="558" ht="15.75" customHeight="1">
      <c r="B558" s="2" t="n"/>
      <c r="E558" s="4" t="n"/>
    </row>
    <row r="559" ht="15.75" customHeight="1">
      <c r="B559" s="2" t="n"/>
      <c r="E559" s="4" t="n"/>
    </row>
    <row r="560" ht="15.75" customHeight="1">
      <c r="B560" s="2" t="n"/>
      <c r="E560" s="4" t="n"/>
    </row>
    <row r="561" ht="15.75" customHeight="1">
      <c r="B561" s="2" t="n"/>
      <c r="E561" s="4" t="n"/>
    </row>
    <row r="562" ht="15.75" customHeight="1">
      <c r="B562" s="2" t="n"/>
      <c r="E562" s="4" t="n"/>
    </row>
    <row r="563" ht="15.75" customHeight="1">
      <c r="B563" s="2" t="n"/>
      <c r="E563" s="4" t="n"/>
    </row>
    <row r="564" ht="15.75" customHeight="1">
      <c r="B564" s="2" t="n"/>
      <c r="E564" s="4" t="n"/>
    </row>
    <row r="565" ht="15.75" customHeight="1">
      <c r="B565" s="2" t="n"/>
      <c r="E565" s="4" t="n"/>
    </row>
    <row r="566" ht="15.75" customHeight="1">
      <c r="B566" s="2" t="n"/>
      <c r="E566" s="4" t="n"/>
    </row>
    <row r="567" ht="15.75" customHeight="1">
      <c r="B567" s="2" t="n"/>
      <c r="E567" s="4" t="n"/>
    </row>
    <row r="568" ht="15.75" customHeight="1">
      <c r="B568" s="2" t="n"/>
      <c r="E568" s="4" t="n"/>
    </row>
    <row r="569" ht="15.75" customHeight="1">
      <c r="B569" s="2" t="n"/>
      <c r="E569" s="4" t="n"/>
    </row>
    <row r="570" ht="15.75" customHeight="1">
      <c r="B570" s="2" t="n"/>
      <c r="E570" s="4" t="n"/>
    </row>
    <row r="571" ht="15.75" customHeight="1">
      <c r="B571" s="2" t="n"/>
      <c r="E571" s="4" t="n"/>
    </row>
    <row r="572" ht="15.75" customHeight="1">
      <c r="B572" s="2" t="n"/>
      <c r="E572" s="4" t="n"/>
    </row>
    <row r="573" ht="15.75" customHeight="1">
      <c r="B573" s="2" t="n"/>
      <c r="E573" s="4" t="n"/>
    </row>
    <row r="574" ht="15.75" customHeight="1">
      <c r="B574" s="2" t="n"/>
      <c r="E574" s="4" t="n"/>
    </row>
    <row r="575" ht="15.75" customHeight="1">
      <c r="B575" s="2" t="n"/>
      <c r="E575" s="4" t="n"/>
    </row>
    <row r="576" ht="15.75" customHeight="1">
      <c r="B576" s="2" t="n"/>
      <c r="E576" s="4" t="n"/>
    </row>
    <row r="577" ht="15.75" customHeight="1">
      <c r="B577" s="2" t="n"/>
      <c r="E577" s="4" t="n"/>
    </row>
    <row r="578" ht="15.75" customHeight="1">
      <c r="B578" s="2" t="n"/>
      <c r="E578" s="4" t="n"/>
    </row>
    <row r="579" ht="15.75" customHeight="1">
      <c r="B579" s="2" t="n"/>
      <c r="E579" s="4" t="n"/>
    </row>
    <row r="580" ht="15.75" customHeight="1">
      <c r="B580" s="2" t="n"/>
      <c r="E580" s="4" t="n"/>
    </row>
    <row r="581" ht="15.75" customHeight="1">
      <c r="B581" s="2" t="n"/>
      <c r="E581" s="4" t="n"/>
    </row>
    <row r="582" ht="15.75" customHeight="1">
      <c r="B582" s="2" t="n"/>
      <c r="E582" s="4" t="n"/>
    </row>
    <row r="583" ht="15.75" customHeight="1">
      <c r="B583" s="2" t="n"/>
      <c r="E583" s="4" t="n"/>
    </row>
    <row r="584" ht="15.75" customHeight="1">
      <c r="B584" s="2" t="n"/>
      <c r="E584" s="4" t="n"/>
    </row>
    <row r="585" ht="15.75" customHeight="1">
      <c r="B585" s="2" t="n"/>
      <c r="E585" s="4" t="n"/>
    </row>
    <row r="586" ht="15.75" customHeight="1">
      <c r="B586" s="2" t="n"/>
      <c r="E586" s="4" t="n"/>
    </row>
    <row r="587" ht="15.75" customHeight="1">
      <c r="B587" s="2" t="n"/>
      <c r="E587" s="4" t="n"/>
    </row>
    <row r="588" ht="15.75" customHeight="1">
      <c r="B588" s="2" t="n"/>
      <c r="E588" s="4" t="n"/>
    </row>
    <row r="589" ht="15.75" customHeight="1">
      <c r="B589" s="2" t="n"/>
      <c r="E589" s="4" t="n"/>
    </row>
    <row r="590" ht="15.75" customHeight="1">
      <c r="B590" s="2" t="n"/>
      <c r="E590" s="4" t="n"/>
    </row>
    <row r="591" ht="15.75" customHeight="1">
      <c r="B591" s="2" t="n"/>
      <c r="E591" s="4" t="n"/>
    </row>
    <row r="592" ht="15.75" customHeight="1">
      <c r="B592" s="2" t="n"/>
      <c r="E592" s="4" t="n"/>
    </row>
    <row r="593" ht="15.75" customHeight="1">
      <c r="B593" s="2" t="n"/>
      <c r="E593" s="4" t="n"/>
    </row>
    <row r="594" ht="15.75" customHeight="1">
      <c r="B594" s="2" t="n"/>
      <c r="E594" s="4" t="n"/>
    </row>
    <row r="595" ht="15.75" customHeight="1">
      <c r="B595" s="2" t="n"/>
      <c r="E595" s="4" t="n"/>
    </row>
    <row r="596" ht="15.75" customHeight="1">
      <c r="B596" s="2" t="n"/>
      <c r="E596" s="4" t="n"/>
    </row>
    <row r="597" ht="15.75" customHeight="1">
      <c r="B597" s="2" t="n"/>
      <c r="E597" s="4" t="n"/>
    </row>
    <row r="598" ht="15.75" customHeight="1">
      <c r="B598" s="2" t="n"/>
      <c r="E598" s="4" t="n"/>
    </row>
    <row r="599" ht="15.75" customHeight="1">
      <c r="B599" s="2" t="n"/>
      <c r="E599" s="4" t="n"/>
    </row>
    <row r="600" ht="15.75" customHeight="1">
      <c r="B600" s="2" t="n"/>
      <c r="E600" s="4" t="n"/>
    </row>
    <row r="601" ht="15.75" customHeight="1">
      <c r="B601" s="2" t="n"/>
      <c r="E601" s="4" t="n"/>
    </row>
    <row r="602" ht="15.75" customHeight="1">
      <c r="B602" s="2" t="n"/>
      <c r="E602" s="4" t="n"/>
    </row>
    <row r="603" ht="15.75" customHeight="1">
      <c r="B603" s="2" t="n"/>
      <c r="E603" s="4" t="n"/>
    </row>
    <row r="604" ht="15.75" customHeight="1">
      <c r="B604" s="2" t="n"/>
      <c r="E604" s="4" t="n"/>
    </row>
    <row r="605" ht="15.75" customHeight="1">
      <c r="B605" s="2" t="n"/>
      <c r="E605" s="4" t="n"/>
    </row>
    <row r="606" ht="15.75" customHeight="1">
      <c r="B606" s="2" t="n"/>
      <c r="E606" s="4" t="n"/>
    </row>
    <row r="607" ht="15.75" customHeight="1">
      <c r="B607" s="2" t="n"/>
      <c r="E607" s="4" t="n"/>
    </row>
    <row r="608" ht="15.75" customHeight="1">
      <c r="B608" s="2" t="n"/>
      <c r="E608" s="4" t="n"/>
    </row>
    <row r="609" ht="15.75" customHeight="1">
      <c r="B609" s="2" t="n"/>
      <c r="E609" s="4" t="n"/>
    </row>
    <row r="610" ht="15.75" customHeight="1">
      <c r="B610" s="2" t="n"/>
      <c r="E610" s="4" t="n"/>
    </row>
    <row r="611" ht="15.75" customHeight="1">
      <c r="B611" s="2" t="n"/>
      <c r="E611" s="4" t="n"/>
    </row>
    <row r="612" ht="15.75" customHeight="1">
      <c r="B612" s="2" t="n"/>
      <c r="E612" s="4" t="n"/>
    </row>
    <row r="613" ht="15.75" customHeight="1">
      <c r="B613" s="2" t="n"/>
      <c r="E613" s="4" t="n"/>
    </row>
    <row r="614" ht="15.75" customHeight="1">
      <c r="B614" s="2" t="n"/>
      <c r="E614" s="4" t="n"/>
    </row>
    <row r="615" ht="15.75" customHeight="1">
      <c r="B615" s="2" t="n"/>
      <c r="E615" s="4" t="n"/>
    </row>
    <row r="616" ht="15.75" customHeight="1">
      <c r="B616" s="2" t="n"/>
      <c r="E616" s="4" t="n"/>
    </row>
    <row r="617" ht="15.75" customHeight="1">
      <c r="B617" s="2" t="n"/>
      <c r="E617" s="4" t="n"/>
    </row>
    <row r="618" ht="15.75" customHeight="1">
      <c r="B618" s="2" t="n"/>
      <c r="E618" s="4" t="n"/>
    </row>
    <row r="619" ht="15.75" customHeight="1">
      <c r="B619" s="2" t="n"/>
      <c r="E619" s="4" t="n"/>
    </row>
    <row r="620" ht="15.75" customHeight="1">
      <c r="B620" s="2" t="n"/>
      <c r="E620" s="4" t="n"/>
    </row>
    <row r="621" ht="15.75" customHeight="1">
      <c r="B621" s="2" t="n"/>
      <c r="E621" s="4" t="n"/>
    </row>
    <row r="622" ht="15.75" customHeight="1">
      <c r="B622" s="2" t="n"/>
      <c r="E622" s="4" t="n"/>
    </row>
    <row r="623" ht="15.75" customHeight="1">
      <c r="B623" s="2" t="n"/>
      <c r="E623" s="4" t="n"/>
    </row>
    <row r="624" ht="15.75" customHeight="1">
      <c r="B624" s="2" t="n"/>
      <c r="E624" s="4" t="n"/>
    </row>
    <row r="625" ht="15.75" customHeight="1">
      <c r="B625" s="2" t="n"/>
      <c r="E625" s="4" t="n"/>
    </row>
    <row r="626" ht="15.75" customHeight="1">
      <c r="B626" s="2" t="n"/>
      <c r="E626" s="4" t="n"/>
    </row>
    <row r="627" ht="15.75" customHeight="1">
      <c r="B627" s="2" t="n"/>
      <c r="E627" s="4" t="n"/>
    </row>
    <row r="628" ht="15.75" customHeight="1">
      <c r="B628" s="2" t="n"/>
      <c r="E628" s="4" t="n"/>
    </row>
    <row r="629" ht="15.75" customHeight="1">
      <c r="B629" s="2" t="n"/>
      <c r="E629" s="4" t="n"/>
    </row>
    <row r="630" ht="15.75" customHeight="1">
      <c r="B630" s="2" t="n"/>
      <c r="E630" s="4" t="n"/>
    </row>
    <row r="631" ht="15.75" customHeight="1">
      <c r="B631" s="2" t="n"/>
      <c r="E631" s="4" t="n"/>
    </row>
    <row r="632" ht="15.75" customHeight="1">
      <c r="B632" s="2" t="n"/>
      <c r="E632" s="4" t="n"/>
    </row>
    <row r="633" ht="15.75" customHeight="1">
      <c r="B633" s="2" t="n"/>
      <c r="E633" s="4" t="n"/>
    </row>
    <row r="634" ht="15.75" customHeight="1">
      <c r="B634" s="2" t="n"/>
      <c r="E634" s="4" t="n"/>
    </row>
    <row r="635" ht="15.75" customHeight="1">
      <c r="B635" s="2" t="n"/>
      <c r="E635" s="4" t="n"/>
    </row>
    <row r="636" ht="15.75" customHeight="1">
      <c r="B636" s="2" t="n"/>
      <c r="E636" s="4" t="n"/>
    </row>
    <row r="637" ht="15.75" customHeight="1">
      <c r="B637" s="2" t="n"/>
      <c r="E637" s="4" t="n"/>
    </row>
    <row r="638" ht="15.75" customHeight="1">
      <c r="B638" s="2" t="n"/>
      <c r="E638" s="4" t="n"/>
    </row>
    <row r="639" ht="15.75" customHeight="1">
      <c r="B639" s="2" t="n"/>
      <c r="E639" s="4" t="n"/>
    </row>
    <row r="640" ht="15.75" customHeight="1">
      <c r="B640" s="2" t="n"/>
      <c r="E640" s="4" t="n"/>
    </row>
    <row r="641" ht="15.75" customHeight="1">
      <c r="B641" s="2" t="n"/>
      <c r="E641" s="4" t="n"/>
    </row>
    <row r="642" ht="15.75" customHeight="1">
      <c r="B642" s="2" t="n"/>
      <c r="E642" s="4" t="n"/>
    </row>
    <row r="643" ht="15.75" customHeight="1">
      <c r="B643" s="2" t="n"/>
      <c r="E643" s="4" t="n"/>
    </row>
    <row r="644" ht="15.75" customHeight="1">
      <c r="B644" s="2" t="n"/>
      <c r="E644" s="4" t="n"/>
    </row>
    <row r="645" ht="15.75" customHeight="1">
      <c r="B645" s="2" t="n"/>
      <c r="E645" s="4" t="n"/>
    </row>
    <row r="646" ht="15.75" customHeight="1">
      <c r="B646" s="2" t="n"/>
      <c r="E646" s="4" t="n"/>
    </row>
    <row r="647" ht="15.75" customHeight="1">
      <c r="B647" s="2" t="n"/>
      <c r="E647" s="4" t="n"/>
    </row>
    <row r="648" ht="15.75" customHeight="1">
      <c r="B648" s="2" t="n"/>
      <c r="E648" s="4" t="n"/>
    </row>
    <row r="649" ht="15.75" customHeight="1">
      <c r="B649" s="2" t="n"/>
      <c r="E649" s="4" t="n"/>
    </row>
    <row r="650" ht="15.75" customHeight="1">
      <c r="B650" s="2" t="n"/>
      <c r="E650" s="4" t="n"/>
    </row>
    <row r="651" ht="15.75" customHeight="1">
      <c r="B651" s="2" t="n"/>
      <c r="E651" s="4" t="n"/>
    </row>
    <row r="652" ht="15.75" customHeight="1">
      <c r="B652" s="2" t="n"/>
      <c r="E652" s="4" t="n"/>
    </row>
    <row r="653" ht="15.75" customHeight="1">
      <c r="B653" s="2" t="n"/>
      <c r="E653" s="4" t="n"/>
    </row>
    <row r="654" ht="15.75" customHeight="1">
      <c r="B654" s="2" t="n"/>
      <c r="E654" s="4" t="n"/>
    </row>
    <row r="655" ht="15.75" customHeight="1">
      <c r="B655" s="2" t="n"/>
      <c r="E655" s="4" t="n"/>
    </row>
    <row r="656" ht="15.75" customHeight="1">
      <c r="B656" s="2" t="n"/>
      <c r="E656" s="4" t="n"/>
    </row>
    <row r="657" ht="15.75" customHeight="1">
      <c r="B657" s="2" t="n"/>
      <c r="E657" s="4" t="n"/>
    </row>
    <row r="658" ht="15.75" customHeight="1">
      <c r="B658" s="2" t="n"/>
      <c r="E658" s="4" t="n"/>
    </row>
    <row r="659" ht="15.75" customHeight="1">
      <c r="B659" s="2" t="n"/>
      <c r="E659" s="4" t="n"/>
    </row>
    <row r="660" ht="15.75" customHeight="1">
      <c r="B660" s="2" t="n"/>
      <c r="E660" s="4" t="n"/>
    </row>
    <row r="661" ht="15.75" customHeight="1">
      <c r="B661" s="2" t="n"/>
      <c r="E661" s="4" t="n"/>
    </row>
    <row r="662" ht="15.75" customHeight="1">
      <c r="B662" s="2" t="n"/>
      <c r="E662" s="4" t="n"/>
    </row>
    <row r="663" ht="15.75" customHeight="1">
      <c r="B663" s="2" t="n"/>
      <c r="E663" s="4" t="n"/>
    </row>
    <row r="664" ht="15.75" customHeight="1">
      <c r="B664" s="2" t="n"/>
      <c r="E664" s="4" t="n"/>
    </row>
    <row r="665" ht="15.75" customHeight="1">
      <c r="B665" s="2" t="n"/>
      <c r="E665" s="4" t="n"/>
    </row>
    <row r="666" ht="15.75" customHeight="1">
      <c r="B666" s="2" t="n"/>
      <c r="E666" s="4" t="n"/>
    </row>
    <row r="667" ht="15.75" customHeight="1">
      <c r="B667" s="2" t="n"/>
      <c r="E667" s="4" t="n"/>
    </row>
    <row r="668" ht="15.75" customHeight="1">
      <c r="B668" s="2" t="n"/>
      <c r="E668" s="4" t="n"/>
    </row>
    <row r="669" ht="15.75" customHeight="1">
      <c r="B669" s="2" t="n"/>
      <c r="E669" s="4" t="n"/>
    </row>
    <row r="670" ht="15.75" customHeight="1">
      <c r="B670" s="2" t="n"/>
      <c r="E670" s="4" t="n"/>
    </row>
    <row r="671" ht="15.75" customHeight="1">
      <c r="B671" s="2" t="n"/>
      <c r="E671" s="4" t="n"/>
    </row>
    <row r="672" ht="15.75" customHeight="1">
      <c r="B672" s="2" t="n"/>
      <c r="E672" s="4" t="n"/>
    </row>
    <row r="673" ht="15.75" customHeight="1">
      <c r="B673" s="2" t="n"/>
      <c r="E673" s="4" t="n"/>
    </row>
    <row r="674" ht="15.75" customHeight="1">
      <c r="B674" s="2" t="n"/>
      <c r="E674" s="4" t="n"/>
    </row>
    <row r="675" ht="15.75" customHeight="1">
      <c r="B675" s="2" t="n"/>
      <c r="E675" s="4" t="n"/>
    </row>
    <row r="676" ht="15.75" customHeight="1">
      <c r="B676" s="2" t="n"/>
      <c r="E676" s="4" t="n"/>
    </row>
    <row r="677" ht="15.75" customHeight="1">
      <c r="B677" s="2" t="n"/>
      <c r="E677" s="4" t="n"/>
    </row>
    <row r="678" ht="15.75" customHeight="1">
      <c r="B678" s="2" t="n"/>
      <c r="E678" s="4" t="n"/>
    </row>
    <row r="679" ht="15.75" customHeight="1">
      <c r="B679" s="2" t="n"/>
      <c r="E679" s="4" t="n"/>
    </row>
    <row r="680" ht="15.75" customHeight="1">
      <c r="B680" s="2" t="n"/>
      <c r="E680" s="4" t="n"/>
    </row>
    <row r="681" ht="15.75" customHeight="1">
      <c r="B681" s="2" t="n"/>
      <c r="E681" s="4" t="n"/>
    </row>
    <row r="682" ht="15.75" customHeight="1">
      <c r="B682" s="2" t="n"/>
      <c r="E682" s="4" t="n"/>
    </row>
    <row r="683" ht="15.75" customHeight="1">
      <c r="B683" s="2" t="n"/>
      <c r="E683" s="4" t="n"/>
    </row>
    <row r="684" ht="15.75" customHeight="1">
      <c r="B684" s="2" t="n"/>
      <c r="E684" s="4" t="n"/>
    </row>
    <row r="685" ht="15.75" customHeight="1">
      <c r="B685" s="2" t="n"/>
      <c r="E685" s="4" t="n"/>
    </row>
    <row r="686" ht="15.75" customHeight="1">
      <c r="B686" s="2" t="n"/>
      <c r="E686" s="4" t="n"/>
    </row>
    <row r="687" ht="15.75" customHeight="1">
      <c r="B687" s="2" t="n"/>
      <c r="E687" s="4" t="n"/>
    </row>
    <row r="688" ht="15.75" customHeight="1">
      <c r="B688" s="2" t="n"/>
      <c r="E688" s="4" t="n"/>
    </row>
    <row r="689" ht="15.75" customHeight="1">
      <c r="B689" s="2" t="n"/>
      <c r="E689" s="4" t="n"/>
    </row>
    <row r="690" ht="15.75" customHeight="1">
      <c r="B690" s="2" t="n"/>
      <c r="E690" s="4" t="n"/>
    </row>
    <row r="691" ht="15.75" customHeight="1">
      <c r="B691" s="2" t="n"/>
      <c r="E691" s="4" t="n"/>
    </row>
    <row r="692" ht="15.75" customHeight="1">
      <c r="B692" s="2" t="n"/>
      <c r="E692" s="4" t="n"/>
    </row>
    <row r="693" ht="15.75" customHeight="1">
      <c r="B693" s="2" t="n"/>
      <c r="E693" s="4" t="n"/>
    </row>
    <row r="694" ht="15.75" customHeight="1">
      <c r="B694" s="2" t="n"/>
      <c r="E694" s="4" t="n"/>
    </row>
    <row r="695" ht="15.75" customHeight="1">
      <c r="B695" s="2" t="n"/>
      <c r="E695" s="4" t="n"/>
    </row>
    <row r="696" ht="15.75" customHeight="1">
      <c r="B696" s="2" t="n"/>
      <c r="E696" s="4" t="n"/>
    </row>
    <row r="697" ht="15.75" customHeight="1">
      <c r="B697" s="2" t="n"/>
      <c r="E697" s="4" t="n"/>
    </row>
    <row r="698" ht="15.75" customHeight="1">
      <c r="B698" s="2" t="n"/>
      <c r="E698" s="4" t="n"/>
    </row>
    <row r="699" ht="15.75" customHeight="1">
      <c r="B699" s="2" t="n"/>
      <c r="E699" s="4" t="n"/>
    </row>
    <row r="700" ht="15.75" customHeight="1">
      <c r="B700" s="2" t="n"/>
      <c r="E700" s="4" t="n"/>
    </row>
    <row r="701" ht="15.75" customHeight="1">
      <c r="B701" s="2" t="n"/>
      <c r="E701" s="4" t="n"/>
    </row>
    <row r="702" ht="15.75" customHeight="1">
      <c r="B702" s="2" t="n"/>
      <c r="E702" s="4" t="n"/>
    </row>
    <row r="703" ht="15.75" customHeight="1">
      <c r="B703" s="2" t="n"/>
      <c r="E703" s="4" t="n"/>
    </row>
    <row r="704" ht="15.75" customHeight="1">
      <c r="B704" s="2" t="n"/>
      <c r="E704" s="4" t="n"/>
    </row>
    <row r="705" ht="15.75" customHeight="1">
      <c r="B705" s="2" t="n"/>
      <c r="E705" s="4" t="n"/>
    </row>
    <row r="706" ht="15.75" customHeight="1">
      <c r="B706" s="2" t="n"/>
      <c r="E706" s="4" t="n"/>
    </row>
    <row r="707" ht="15.75" customHeight="1">
      <c r="B707" s="2" t="n"/>
      <c r="E707" s="4" t="n"/>
    </row>
    <row r="708" ht="15.75" customHeight="1">
      <c r="B708" s="2" t="n"/>
      <c r="E708" s="4" t="n"/>
    </row>
    <row r="709" ht="15.75" customHeight="1">
      <c r="B709" s="2" t="n"/>
      <c r="E709" s="4" t="n"/>
    </row>
    <row r="710" ht="15.75" customHeight="1">
      <c r="B710" s="2" t="n"/>
      <c r="E710" s="4" t="n"/>
    </row>
    <row r="711" ht="15.75" customHeight="1">
      <c r="B711" s="2" t="n"/>
      <c r="E711" s="4" t="n"/>
    </row>
    <row r="712" ht="15.75" customHeight="1">
      <c r="B712" s="2" t="n"/>
      <c r="E712" s="4" t="n"/>
    </row>
    <row r="713" ht="15.75" customHeight="1">
      <c r="B713" s="2" t="n"/>
      <c r="E713" s="4" t="n"/>
    </row>
    <row r="714" ht="15.75" customHeight="1">
      <c r="B714" s="2" t="n"/>
      <c r="E714" s="4" t="n"/>
    </row>
    <row r="715" ht="15.75" customHeight="1">
      <c r="B715" s="2" t="n"/>
      <c r="E715" s="4" t="n"/>
    </row>
    <row r="716" ht="15.75" customHeight="1">
      <c r="B716" s="2" t="n"/>
      <c r="E716" s="4" t="n"/>
    </row>
    <row r="717" ht="15.75" customHeight="1">
      <c r="B717" s="2" t="n"/>
      <c r="E717" s="4" t="n"/>
    </row>
    <row r="718" ht="15.75" customHeight="1">
      <c r="B718" s="2" t="n"/>
      <c r="E718" s="4" t="n"/>
    </row>
    <row r="719" ht="15.75" customHeight="1">
      <c r="B719" s="2" t="n"/>
      <c r="E719" s="4" t="n"/>
    </row>
    <row r="720" ht="15.75" customHeight="1">
      <c r="B720" s="2" t="n"/>
      <c r="E720" s="4" t="n"/>
    </row>
    <row r="721" ht="15.75" customHeight="1">
      <c r="B721" s="2" t="n"/>
      <c r="E721" s="4" t="n"/>
    </row>
    <row r="722" ht="15.75" customHeight="1">
      <c r="B722" s="2" t="n"/>
      <c r="E722" s="4" t="n"/>
    </row>
    <row r="723" ht="15.75" customHeight="1">
      <c r="B723" s="2" t="n"/>
      <c r="E723" s="4" t="n"/>
    </row>
    <row r="724" ht="15.75" customHeight="1">
      <c r="B724" s="2" t="n"/>
      <c r="E724" s="4" t="n"/>
    </row>
    <row r="725" ht="15.75" customHeight="1">
      <c r="B725" s="2" t="n"/>
      <c r="E725" s="4" t="n"/>
    </row>
    <row r="726" ht="15.75" customHeight="1">
      <c r="B726" s="2" t="n"/>
      <c r="E726" s="4" t="n"/>
    </row>
    <row r="727" ht="15.75" customHeight="1">
      <c r="B727" s="2" t="n"/>
      <c r="E727" s="4" t="n"/>
    </row>
    <row r="728" ht="15.75" customHeight="1">
      <c r="B728" s="2" t="n"/>
      <c r="E728" s="4" t="n"/>
    </row>
    <row r="729" ht="15.75" customHeight="1">
      <c r="B729" s="2" t="n"/>
      <c r="E729" s="4" t="n"/>
    </row>
    <row r="730" ht="15.75" customHeight="1">
      <c r="B730" s="2" t="n"/>
      <c r="E730" s="4" t="n"/>
    </row>
    <row r="731" ht="15.75" customHeight="1">
      <c r="B731" s="2" t="n"/>
      <c r="E731" s="4" t="n"/>
    </row>
    <row r="732" ht="15.75" customHeight="1">
      <c r="B732" s="2" t="n"/>
      <c r="E732" s="4" t="n"/>
    </row>
    <row r="733" ht="15.75" customHeight="1">
      <c r="B733" s="2" t="n"/>
      <c r="E733" s="4" t="n"/>
    </row>
    <row r="734" ht="15.75" customHeight="1">
      <c r="B734" s="2" t="n"/>
      <c r="E734" s="4" t="n"/>
    </row>
    <row r="735" ht="15.75" customHeight="1">
      <c r="B735" s="2" t="n"/>
      <c r="E735" s="4" t="n"/>
    </row>
    <row r="736" ht="15.75" customHeight="1">
      <c r="B736" s="2" t="n"/>
      <c r="E736" s="4" t="n"/>
    </row>
    <row r="737" ht="15.75" customHeight="1">
      <c r="B737" s="2" t="n"/>
      <c r="E737" s="4" t="n"/>
    </row>
    <row r="738" ht="15.75" customHeight="1">
      <c r="B738" s="2" t="n"/>
      <c r="E738" s="4" t="n"/>
    </row>
    <row r="739" ht="15.75" customHeight="1">
      <c r="B739" s="2" t="n"/>
      <c r="E739" s="4" t="n"/>
    </row>
    <row r="740" ht="15.75" customHeight="1">
      <c r="B740" s="2" t="n"/>
      <c r="E740" s="4" t="n"/>
    </row>
    <row r="741" ht="15.75" customHeight="1">
      <c r="B741" s="2" t="n"/>
      <c r="E741" s="4" t="n"/>
    </row>
    <row r="742" ht="15.75" customHeight="1">
      <c r="B742" s="2" t="n"/>
      <c r="E742" s="4" t="n"/>
    </row>
    <row r="743" ht="15.75" customHeight="1">
      <c r="B743" s="2" t="n"/>
      <c r="E743" s="4" t="n"/>
    </row>
    <row r="744" ht="15.75" customHeight="1">
      <c r="B744" s="2" t="n"/>
      <c r="E744" s="4" t="n"/>
    </row>
    <row r="745" ht="15.75" customHeight="1">
      <c r="B745" s="2" t="n"/>
      <c r="E745" s="4" t="n"/>
    </row>
    <row r="746" ht="15.75" customHeight="1">
      <c r="B746" s="2" t="n"/>
      <c r="E746" s="4" t="n"/>
    </row>
    <row r="747" ht="15.75" customHeight="1">
      <c r="B747" s="2" t="n"/>
      <c r="E747" s="4" t="n"/>
    </row>
    <row r="748" ht="15.75" customHeight="1">
      <c r="B748" s="2" t="n"/>
      <c r="E748" s="4" t="n"/>
    </row>
    <row r="749" ht="15.75" customHeight="1">
      <c r="B749" s="2" t="n"/>
      <c r="E749" s="4" t="n"/>
    </row>
    <row r="750" ht="15.75" customHeight="1">
      <c r="B750" s="2" t="n"/>
      <c r="E750" s="4" t="n"/>
    </row>
    <row r="751" ht="15.75" customHeight="1">
      <c r="B751" s="2" t="n"/>
      <c r="E751" s="4" t="n"/>
    </row>
    <row r="752" ht="15.75" customHeight="1">
      <c r="B752" s="2" t="n"/>
      <c r="E752" s="4" t="n"/>
    </row>
    <row r="753" ht="15.75" customHeight="1">
      <c r="B753" s="2" t="n"/>
      <c r="E753" s="4" t="n"/>
    </row>
    <row r="754" ht="15.75" customHeight="1">
      <c r="B754" s="2" t="n"/>
      <c r="E754" s="4" t="n"/>
    </row>
    <row r="755" ht="15.75" customHeight="1">
      <c r="B755" s="2" t="n"/>
      <c r="E755" s="4" t="n"/>
    </row>
    <row r="756" ht="15.75" customHeight="1">
      <c r="B756" s="2" t="n"/>
      <c r="E756" s="4" t="n"/>
    </row>
    <row r="757" ht="15.75" customHeight="1">
      <c r="B757" s="2" t="n"/>
      <c r="E757" s="4" t="n"/>
    </row>
    <row r="758" ht="15.75" customHeight="1">
      <c r="B758" s="2" t="n"/>
      <c r="E758" s="4" t="n"/>
    </row>
    <row r="759" ht="15.75" customHeight="1">
      <c r="B759" s="2" t="n"/>
      <c r="E759" s="4" t="n"/>
    </row>
    <row r="760" ht="15.75" customHeight="1">
      <c r="B760" s="2" t="n"/>
      <c r="E760" s="4" t="n"/>
    </row>
    <row r="761" ht="15.75" customHeight="1">
      <c r="B761" s="2" t="n"/>
      <c r="E761" s="4" t="n"/>
    </row>
    <row r="762" ht="15.75" customHeight="1">
      <c r="B762" s="2" t="n"/>
      <c r="E762" s="4" t="n"/>
    </row>
    <row r="763" ht="15.75" customHeight="1">
      <c r="B763" s="2" t="n"/>
      <c r="E763" s="4" t="n"/>
    </row>
    <row r="764" ht="15.75" customHeight="1">
      <c r="B764" s="2" t="n"/>
      <c r="E764" s="4" t="n"/>
    </row>
    <row r="765" ht="15.75" customHeight="1">
      <c r="B765" s="2" t="n"/>
      <c r="E765" s="4" t="n"/>
    </row>
    <row r="766" ht="15.75" customHeight="1">
      <c r="B766" s="2" t="n"/>
      <c r="E766" s="4" t="n"/>
    </row>
    <row r="767" ht="15.75" customHeight="1">
      <c r="B767" s="2" t="n"/>
      <c r="E767" s="4" t="n"/>
    </row>
    <row r="768" ht="15.75" customHeight="1">
      <c r="B768" s="2" t="n"/>
      <c r="E768" s="4" t="n"/>
    </row>
    <row r="769" ht="15.75" customHeight="1">
      <c r="B769" s="2" t="n"/>
      <c r="E769" s="4" t="n"/>
    </row>
    <row r="770" ht="15.75" customHeight="1">
      <c r="B770" s="2" t="n"/>
      <c r="E770" s="4" t="n"/>
    </row>
    <row r="771" ht="15.75" customHeight="1">
      <c r="B771" s="2" t="n"/>
      <c r="E771" s="4" t="n"/>
    </row>
    <row r="772" ht="15.75" customHeight="1">
      <c r="B772" s="2" t="n"/>
      <c r="E772" s="4" t="n"/>
    </row>
    <row r="773" ht="15.75" customHeight="1">
      <c r="B773" s="2" t="n"/>
      <c r="E773" s="4" t="n"/>
    </row>
    <row r="774" ht="15.75" customHeight="1">
      <c r="B774" s="2" t="n"/>
      <c r="E774" s="4" t="n"/>
    </row>
    <row r="775" ht="15.75" customHeight="1">
      <c r="B775" s="2" t="n"/>
      <c r="E775" s="4" t="n"/>
    </row>
    <row r="776" ht="15.75" customHeight="1">
      <c r="B776" s="2" t="n"/>
      <c r="E776" s="4" t="n"/>
    </row>
    <row r="777" ht="15.75" customHeight="1">
      <c r="B777" s="2" t="n"/>
      <c r="E777" s="4" t="n"/>
    </row>
    <row r="778" ht="15.75" customHeight="1">
      <c r="B778" s="2" t="n"/>
      <c r="E778" s="4" t="n"/>
    </row>
    <row r="779" ht="15.75" customHeight="1">
      <c r="B779" s="2" t="n"/>
      <c r="E779" s="4" t="n"/>
    </row>
    <row r="780" ht="15.75" customHeight="1">
      <c r="B780" s="2" t="n"/>
      <c r="E780" s="4" t="n"/>
    </row>
    <row r="781" ht="15.75" customHeight="1">
      <c r="B781" s="2" t="n"/>
      <c r="E781" s="4" t="n"/>
    </row>
    <row r="782" ht="15.75" customHeight="1">
      <c r="B782" s="2" t="n"/>
      <c r="E782" s="4" t="n"/>
    </row>
    <row r="783" ht="15.75" customHeight="1">
      <c r="B783" s="2" t="n"/>
      <c r="E783" s="4" t="n"/>
    </row>
    <row r="784" ht="15.75" customHeight="1">
      <c r="B784" s="2" t="n"/>
      <c r="E784" s="4" t="n"/>
    </row>
    <row r="785" ht="15.75" customHeight="1">
      <c r="B785" s="2" t="n"/>
      <c r="E785" s="4" t="n"/>
    </row>
    <row r="786" ht="15.75" customHeight="1">
      <c r="B786" s="2" t="n"/>
      <c r="E786" s="4" t="n"/>
    </row>
    <row r="787" ht="15.75" customHeight="1">
      <c r="B787" s="2" t="n"/>
      <c r="E787" s="4" t="n"/>
    </row>
    <row r="788" ht="15.75" customHeight="1">
      <c r="B788" s="2" t="n"/>
      <c r="E788" s="4" t="n"/>
    </row>
    <row r="789" ht="15.75" customHeight="1">
      <c r="B789" s="2" t="n"/>
      <c r="E789" s="4" t="n"/>
    </row>
    <row r="790" ht="15.75" customHeight="1">
      <c r="B790" s="2" t="n"/>
      <c r="E790" s="4" t="n"/>
    </row>
    <row r="791" ht="15.75" customHeight="1">
      <c r="B791" s="2" t="n"/>
      <c r="E791" s="4" t="n"/>
    </row>
    <row r="792" ht="15.75" customHeight="1">
      <c r="B792" s="2" t="n"/>
      <c r="E792" s="4" t="n"/>
    </row>
    <row r="793" ht="15.75" customHeight="1">
      <c r="B793" s="2" t="n"/>
      <c r="E793" s="4" t="n"/>
    </row>
    <row r="794" ht="15.75" customHeight="1">
      <c r="B794" s="2" t="n"/>
      <c r="E794" s="4" t="n"/>
    </row>
    <row r="795" ht="15.75" customHeight="1">
      <c r="B795" s="2" t="n"/>
      <c r="E795" s="4" t="n"/>
    </row>
    <row r="796" ht="15.75" customHeight="1">
      <c r="B796" s="2" t="n"/>
      <c r="E796" s="4" t="n"/>
    </row>
    <row r="797" ht="15.75" customHeight="1">
      <c r="B797" s="2" t="n"/>
      <c r="E797" s="4" t="n"/>
    </row>
    <row r="798" ht="15.75" customHeight="1">
      <c r="B798" s="2" t="n"/>
      <c r="E798" s="4" t="n"/>
    </row>
    <row r="799" ht="15.75" customHeight="1">
      <c r="B799" s="2" t="n"/>
      <c r="E799" s="4" t="n"/>
    </row>
    <row r="800" ht="15.75" customHeight="1">
      <c r="B800" s="2" t="n"/>
      <c r="E800" s="4" t="n"/>
    </row>
    <row r="801" ht="15.75" customHeight="1">
      <c r="B801" s="2" t="n"/>
      <c r="E801" s="4" t="n"/>
    </row>
    <row r="802" ht="15.75" customHeight="1">
      <c r="B802" s="2" t="n"/>
      <c r="E802" s="4" t="n"/>
    </row>
    <row r="803" ht="15.75" customHeight="1">
      <c r="B803" s="2" t="n"/>
      <c r="E803" s="4" t="n"/>
    </row>
    <row r="804" ht="15.75" customHeight="1">
      <c r="B804" s="2" t="n"/>
      <c r="E804" s="4" t="n"/>
    </row>
    <row r="805" ht="15.75" customHeight="1">
      <c r="B805" s="2" t="n"/>
      <c r="E805" s="4" t="n"/>
    </row>
    <row r="806" ht="15.75" customHeight="1">
      <c r="B806" s="2" t="n"/>
      <c r="E806" s="4" t="n"/>
    </row>
    <row r="807" ht="15.75" customHeight="1">
      <c r="B807" s="2" t="n"/>
      <c r="E807" s="4" t="n"/>
    </row>
    <row r="808" ht="15.75" customHeight="1">
      <c r="B808" s="2" t="n"/>
      <c r="E808" s="4" t="n"/>
    </row>
    <row r="809" ht="15.75" customHeight="1">
      <c r="B809" s="2" t="n"/>
      <c r="E809" s="4" t="n"/>
    </row>
    <row r="810" ht="15.75" customHeight="1">
      <c r="B810" s="2" t="n"/>
      <c r="E810" s="4" t="n"/>
    </row>
    <row r="811" ht="15.75" customHeight="1">
      <c r="B811" s="2" t="n"/>
      <c r="E811" s="4" t="n"/>
    </row>
    <row r="812" ht="15.75" customHeight="1">
      <c r="B812" s="2" t="n"/>
      <c r="E812" s="4" t="n"/>
    </row>
    <row r="813" ht="15.75" customHeight="1">
      <c r="B813" s="2" t="n"/>
      <c r="E813" s="4" t="n"/>
    </row>
    <row r="814" ht="15.75" customHeight="1">
      <c r="B814" s="2" t="n"/>
      <c r="E814" s="4" t="n"/>
    </row>
    <row r="815" ht="15.75" customHeight="1">
      <c r="B815" s="2" t="n"/>
      <c r="E815" s="4" t="n"/>
    </row>
    <row r="816" ht="15.75" customHeight="1">
      <c r="B816" s="2" t="n"/>
      <c r="E816" s="4" t="n"/>
    </row>
    <row r="817" ht="15.75" customHeight="1">
      <c r="B817" s="2" t="n"/>
      <c r="E817" s="4" t="n"/>
    </row>
    <row r="818" ht="15.75" customHeight="1">
      <c r="B818" s="2" t="n"/>
      <c r="E818" s="4" t="n"/>
    </row>
    <row r="819" ht="15.75" customHeight="1">
      <c r="B819" s="2" t="n"/>
      <c r="E819" s="4" t="n"/>
    </row>
    <row r="820" ht="15.75" customHeight="1">
      <c r="B820" s="2" t="n"/>
      <c r="E820" s="4" t="n"/>
    </row>
    <row r="821" ht="15.75" customHeight="1">
      <c r="B821" s="2" t="n"/>
      <c r="E821" s="4" t="n"/>
    </row>
    <row r="822" ht="15.75" customHeight="1">
      <c r="B822" s="2" t="n"/>
      <c r="E822" s="4" t="n"/>
    </row>
    <row r="823" ht="15.75" customHeight="1">
      <c r="B823" s="2" t="n"/>
      <c r="E823" s="4" t="n"/>
    </row>
    <row r="824" ht="15.75" customHeight="1">
      <c r="B824" s="2" t="n"/>
      <c r="E824" s="4" t="n"/>
    </row>
    <row r="825" ht="15.75" customHeight="1">
      <c r="B825" s="2" t="n"/>
      <c r="E825" s="4" t="n"/>
    </row>
    <row r="826" ht="15.75" customHeight="1">
      <c r="B826" s="2" t="n"/>
      <c r="E826" s="4" t="n"/>
    </row>
    <row r="827" ht="15.75" customHeight="1">
      <c r="B827" s="2" t="n"/>
      <c r="E827" s="4" t="n"/>
    </row>
    <row r="828" ht="15.75" customHeight="1">
      <c r="B828" s="2" t="n"/>
      <c r="E828" s="4" t="n"/>
    </row>
    <row r="829" ht="15.75" customHeight="1">
      <c r="B829" s="2" t="n"/>
      <c r="E829" s="4" t="n"/>
    </row>
    <row r="830" ht="15.75" customHeight="1">
      <c r="B830" s="2" t="n"/>
      <c r="E830" s="4" t="n"/>
    </row>
    <row r="831" ht="15.75" customHeight="1">
      <c r="B831" s="2" t="n"/>
      <c r="E831" s="4" t="n"/>
    </row>
    <row r="832" ht="15.75" customHeight="1">
      <c r="B832" s="2" t="n"/>
      <c r="E832" s="4" t="n"/>
    </row>
    <row r="833" ht="15.75" customHeight="1">
      <c r="B833" s="2" t="n"/>
      <c r="E833" s="4" t="n"/>
    </row>
    <row r="834" ht="15.75" customHeight="1">
      <c r="B834" s="2" t="n"/>
      <c r="E834" s="4" t="n"/>
    </row>
    <row r="835" ht="15.75" customHeight="1">
      <c r="B835" s="2" t="n"/>
      <c r="E835" s="4" t="n"/>
    </row>
    <row r="836" ht="15.75" customHeight="1">
      <c r="B836" s="2" t="n"/>
      <c r="E836" s="4" t="n"/>
    </row>
    <row r="837" ht="15.75" customHeight="1">
      <c r="B837" s="2" t="n"/>
      <c r="E837" s="4" t="n"/>
    </row>
    <row r="838" ht="15.75" customHeight="1">
      <c r="B838" s="2" t="n"/>
      <c r="E838" s="4" t="n"/>
    </row>
    <row r="839" ht="15.75" customHeight="1">
      <c r="B839" s="2" t="n"/>
      <c r="E839" s="4" t="n"/>
    </row>
    <row r="840" ht="15.75" customHeight="1">
      <c r="B840" s="2" t="n"/>
      <c r="E840" s="4" t="n"/>
    </row>
    <row r="841" ht="15.75" customHeight="1">
      <c r="B841" s="2" t="n"/>
      <c r="E841" s="4" t="n"/>
    </row>
    <row r="842" ht="15.75" customHeight="1">
      <c r="B842" s="2" t="n"/>
      <c r="E842" s="4" t="n"/>
    </row>
    <row r="843" ht="15.75" customHeight="1">
      <c r="B843" s="2" t="n"/>
      <c r="E843" s="4" t="n"/>
    </row>
    <row r="844" ht="15.75" customHeight="1">
      <c r="B844" s="2" t="n"/>
      <c r="E844" s="4" t="n"/>
    </row>
    <row r="845" ht="15.75" customHeight="1">
      <c r="B845" s="2" t="n"/>
      <c r="E845" s="4" t="n"/>
    </row>
    <row r="846" ht="15.75" customHeight="1">
      <c r="B846" s="2" t="n"/>
      <c r="E846" s="4" t="n"/>
    </row>
    <row r="847" ht="15.75" customHeight="1">
      <c r="B847" s="2" t="n"/>
      <c r="E847" s="4" t="n"/>
    </row>
    <row r="848" ht="15.75" customHeight="1">
      <c r="B848" s="2" t="n"/>
      <c r="E848" s="4" t="n"/>
    </row>
    <row r="849" ht="15.75" customHeight="1">
      <c r="B849" s="2" t="n"/>
      <c r="E849" s="4" t="n"/>
    </row>
    <row r="850" ht="15.75" customHeight="1">
      <c r="B850" s="2" t="n"/>
      <c r="E850" s="4" t="n"/>
    </row>
    <row r="851" ht="15.75" customHeight="1">
      <c r="B851" s="2" t="n"/>
      <c r="E851" s="4" t="n"/>
    </row>
    <row r="852" ht="15.75" customHeight="1">
      <c r="B852" s="2" t="n"/>
      <c r="E852" s="4" t="n"/>
    </row>
    <row r="853" ht="15.75" customHeight="1">
      <c r="B853" s="2" t="n"/>
      <c r="E853" s="4" t="n"/>
    </row>
    <row r="854" ht="15.75" customHeight="1">
      <c r="B854" s="2" t="n"/>
      <c r="E854" s="4" t="n"/>
    </row>
    <row r="855" ht="15.75" customHeight="1">
      <c r="B855" s="2" t="n"/>
      <c r="E855" s="4" t="n"/>
    </row>
    <row r="856" ht="15.75" customHeight="1">
      <c r="B856" s="2" t="n"/>
      <c r="E856" s="4" t="n"/>
    </row>
    <row r="857" ht="15.75" customHeight="1">
      <c r="B857" s="2" t="n"/>
      <c r="E857" s="4" t="n"/>
    </row>
    <row r="858" ht="15.75" customHeight="1">
      <c r="B858" s="2" t="n"/>
      <c r="E858" s="4" t="n"/>
    </row>
    <row r="859" ht="15.75" customHeight="1">
      <c r="B859" s="2" t="n"/>
      <c r="E859" s="4" t="n"/>
    </row>
    <row r="860" ht="15.75" customHeight="1">
      <c r="B860" s="2" t="n"/>
      <c r="E860" s="4" t="n"/>
    </row>
    <row r="861" ht="15.75" customHeight="1">
      <c r="B861" s="2" t="n"/>
      <c r="E861" s="4" t="n"/>
    </row>
    <row r="862" ht="15.75" customHeight="1">
      <c r="B862" s="2" t="n"/>
      <c r="E862" s="4" t="n"/>
    </row>
    <row r="863" ht="15.75" customHeight="1">
      <c r="B863" s="2" t="n"/>
      <c r="E863" s="4" t="n"/>
    </row>
    <row r="864" ht="15.75" customHeight="1">
      <c r="B864" s="2" t="n"/>
      <c r="E864" s="4" t="n"/>
    </row>
    <row r="865" ht="15.75" customHeight="1">
      <c r="B865" s="2" t="n"/>
      <c r="E865" s="4" t="n"/>
    </row>
    <row r="866" ht="15.75" customHeight="1">
      <c r="B866" s="2" t="n"/>
      <c r="E866" s="4" t="n"/>
    </row>
    <row r="867" ht="15.75" customHeight="1">
      <c r="B867" s="2" t="n"/>
      <c r="E867" s="4" t="n"/>
    </row>
    <row r="868" ht="15.75" customHeight="1">
      <c r="B868" s="2" t="n"/>
      <c r="E868" s="4" t="n"/>
    </row>
    <row r="869" ht="15.75" customHeight="1">
      <c r="B869" s="2" t="n"/>
      <c r="E869" s="4" t="n"/>
    </row>
    <row r="870" ht="15.75" customHeight="1">
      <c r="B870" s="2" t="n"/>
      <c r="E870" s="4" t="n"/>
    </row>
    <row r="871" ht="15.75" customHeight="1">
      <c r="B871" s="2" t="n"/>
      <c r="E871" s="4" t="n"/>
    </row>
    <row r="872" ht="15.75" customHeight="1">
      <c r="B872" s="2" t="n"/>
      <c r="E872" s="4" t="n"/>
    </row>
    <row r="873" ht="15.75" customHeight="1">
      <c r="B873" s="2" t="n"/>
      <c r="E873" s="4" t="n"/>
    </row>
    <row r="874" ht="15.75" customHeight="1">
      <c r="B874" s="2" t="n"/>
      <c r="E874" s="4" t="n"/>
    </row>
    <row r="875" ht="15.75" customHeight="1">
      <c r="B875" s="2" t="n"/>
      <c r="E875" s="4" t="n"/>
    </row>
    <row r="876" ht="15.75" customHeight="1">
      <c r="B876" s="2" t="n"/>
      <c r="E876" s="4" t="n"/>
    </row>
    <row r="877" ht="15.75" customHeight="1">
      <c r="B877" s="2" t="n"/>
      <c r="E877" s="4" t="n"/>
    </row>
    <row r="878" ht="15.75" customHeight="1">
      <c r="B878" s="2" t="n"/>
      <c r="E878" s="4" t="n"/>
    </row>
    <row r="879" ht="15.75" customHeight="1">
      <c r="B879" s="2" t="n"/>
      <c r="E879" s="4" t="n"/>
    </row>
    <row r="880" ht="15.75" customHeight="1">
      <c r="B880" s="2" t="n"/>
      <c r="E880" s="4" t="n"/>
    </row>
    <row r="881" ht="15.75" customHeight="1">
      <c r="B881" s="2" t="n"/>
      <c r="E881" s="4" t="n"/>
    </row>
    <row r="882" ht="15.75" customHeight="1">
      <c r="B882" s="2" t="n"/>
      <c r="E882" s="4" t="n"/>
    </row>
    <row r="883" ht="15.75" customHeight="1">
      <c r="B883" s="2" t="n"/>
      <c r="E883" s="4" t="n"/>
    </row>
    <row r="884" ht="15.75" customHeight="1">
      <c r="B884" s="2" t="n"/>
      <c r="E884" s="4" t="n"/>
    </row>
    <row r="885" ht="15.75" customHeight="1">
      <c r="B885" s="2" t="n"/>
      <c r="E885" s="4" t="n"/>
    </row>
    <row r="886" ht="15.75" customHeight="1">
      <c r="B886" s="2" t="n"/>
      <c r="E886" s="4" t="n"/>
    </row>
    <row r="887" ht="15.75" customHeight="1">
      <c r="B887" s="2" t="n"/>
      <c r="E887" s="4" t="n"/>
    </row>
    <row r="888" ht="15.75" customHeight="1">
      <c r="B888" s="2" t="n"/>
      <c r="E888" s="4" t="n"/>
    </row>
    <row r="889" ht="15.75" customHeight="1">
      <c r="B889" s="2" t="n"/>
      <c r="E889" s="4" t="n"/>
    </row>
    <row r="890" ht="15.75" customHeight="1">
      <c r="B890" s="2" t="n"/>
      <c r="E890" s="4" t="n"/>
    </row>
    <row r="891" ht="15.75" customHeight="1">
      <c r="B891" s="2" t="n"/>
      <c r="E891" s="4" t="n"/>
    </row>
    <row r="892" ht="15.75" customHeight="1">
      <c r="B892" s="2" t="n"/>
      <c r="E892" s="4" t="n"/>
    </row>
    <row r="893" ht="15.75" customHeight="1">
      <c r="B893" s="2" t="n"/>
      <c r="E893" s="4" t="n"/>
    </row>
    <row r="894" ht="15.75" customHeight="1">
      <c r="B894" s="2" t="n"/>
      <c r="E894" s="4" t="n"/>
    </row>
    <row r="895" ht="15.75" customHeight="1">
      <c r="B895" s="2" t="n"/>
      <c r="E895" s="4" t="n"/>
    </row>
    <row r="896" ht="15.75" customHeight="1">
      <c r="B896" s="2" t="n"/>
      <c r="E896" s="4" t="n"/>
    </row>
    <row r="897" ht="15.75" customHeight="1">
      <c r="B897" s="2" t="n"/>
      <c r="E897" s="4" t="n"/>
    </row>
    <row r="898" ht="15.75" customHeight="1">
      <c r="B898" s="2" t="n"/>
      <c r="E898" s="4" t="n"/>
    </row>
    <row r="899" ht="15.75" customHeight="1">
      <c r="B899" s="2" t="n"/>
      <c r="E899" s="4" t="n"/>
    </row>
    <row r="900" ht="15.75" customHeight="1">
      <c r="B900" s="2" t="n"/>
      <c r="E900" s="4" t="n"/>
    </row>
    <row r="901" ht="15.75" customHeight="1">
      <c r="B901" s="2" t="n"/>
      <c r="E901" s="4" t="n"/>
    </row>
    <row r="902" ht="15.75" customHeight="1">
      <c r="B902" s="2" t="n"/>
      <c r="E902" s="4" t="n"/>
    </row>
    <row r="903" ht="15.75" customHeight="1">
      <c r="B903" s="2" t="n"/>
      <c r="E903" s="4" t="n"/>
    </row>
    <row r="904" ht="15.75" customHeight="1">
      <c r="B904" s="2" t="n"/>
      <c r="E904" s="4" t="n"/>
    </row>
    <row r="905" ht="15.75" customHeight="1">
      <c r="B905" s="2" t="n"/>
      <c r="E905" s="4" t="n"/>
    </row>
    <row r="906" ht="15.75" customHeight="1">
      <c r="B906" s="2" t="n"/>
      <c r="E906" s="4" t="n"/>
    </row>
    <row r="907" ht="15.75" customHeight="1">
      <c r="B907" s="2" t="n"/>
      <c r="E907" s="4" t="n"/>
    </row>
    <row r="908" ht="15.75" customHeight="1">
      <c r="B908" s="2" t="n"/>
      <c r="E908" s="4" t="n"/>
    </row>
    <row r="909" ht="15.75" customHeight="1">
      <c r="B909" s="2" t="n"/>
      <c r="E909" s="4" t="n"/>
    </row>
    <row r="910" ht="15.75" customHeight="1">
      <c r="B910" s="2" t="n"/>
      <c r="E910" s="4" t="n"/>
    </row>
    <row r="911" ht="15.75" customHeight="1">
      <c r="B911" s="2" t="n"/>
      <c r="E911" s="4" t="n"/>
    </row>
    <row r="912" ht="15.75" customHeight="1">
      <c r="B912" s="2" t="n"/>
      <c r="E912" s="4" t="n"/>
    </row>
    <row r="913" ht="15.75" customHeight="1">
      <c r="B913" s="2" t="n"/>
      <c r="E913" s="4" t="n"/>
    </row>
    <row r="914" ht="15.75" customHeight="1">
      <c r="B914" s="2" t="n"/>
      <c r="E914" s="4" t="n"/>
    </row>
    <row r="915" ht="15.75" customHeight="1">
      <c r="B915" s="2" t="n"/>
      <c r="E915" s="4" t="n"/>
    </row>
    <row r="916" ht="15.75" customHeight="1">
      <c r="B916" s="2" t="n"/>
      <c r="E916" s="4" t="n"/>
    </row>
    <row r="917" ht="15.75" customHeight="1">
      <c r="B917" s="2" t="n"/>
      <c r="E917" s="4" t="n"/>
    </row>
    <row r="918" ht="15.75" customHeight="1">
      <c r="B918" s="2" t="n"/>
      <c r="E918" s="4" t="n"/>
    </row>
    <row r="919" ht="15.75" customHeight="1">
      <c r="B919" s="2" t="n"/>
      <c r="E919" s="4" t="n"/>
    </row>
    <row r="920" ht="15.75" customHeight="1">
      <c r="B920" s="2" t="n"/>
      <c r="E920" s="4" t="n"/>
    </row>
    <row r="921" ht="15.75" customHeight="1">
      <c r="B921" s="2" t="n"/>
      <c r="E921" s="4" t="n"/>
    </row>
    <row r="922" ht="15.75" customHeight="1">
      <c r="B922" s="2" t="n"/>
      <c r="E922" s="4" t="n"/>
    </row>
    <row r="923" ht="15.75" customHeight="1">
      <c r="B923" s="2" t="n"/>
      <c r="E923" s="4" t="n"/>
    </row>
    <row r="924" ht="15.75" customHeight="1">
      <c r="B924" s="2" t="n"/>
      <c r="E924" s="4" t="n"/>
    </row>
    <row r="925" ht="15.75" customHeight="1">
      <c r="B925" s="2" t="n"/>
      <c r="E925" s="4" t="n"/>
    </row>
    <row r="926" ht="15.75" customHeight="1">
      <c r="B926" s="2" t="n"/>
      <c r="E926" s="4" t="n"/>
    </row>
    <row r="927" ht="15.75" customHeight="1">
      <c r="B927" s="2" t="n"/>
      <c r="E927" s="4" t="n"/>
    </row>
    <row r="928" ht="15.75" customHeight="1">
      <c r="B928" s="2" t="n"/>
      <c r="E928" s="4" t="n"/>
    </row>
    <row r="929" ht="15.75" customHeight="1">
      <c r="B929" s="2" t="n"/>
      <c r="E929" s="4" t="n"/>
    </row>
    <row r="930" ht="15.75" customHeight="1">
      <c r="B930" s="2" t="n"/>
      <c r="E930" s="4" t="n"/>
    </row>
    <row r="931" ht="15.75" customHeight="1">
      <c r="B931" s="2" t="n"/>
      <c r="E931" s="4" t="n"/>
    </row>
    <row r="932" ht="15.75" customHeight="1">
      <c r="B932" s="2" t="n"/>
      <c r="E932" s="4" t="n"/>
    </row>
    <row r="933" ht="15.75" customHeight="1">
      <c r="B933" s="2" t="n"/>
      <c r="E933" s="4" t="n"/>
    </row>
    <row r="934" ht="15.75" customHeight="1">
      <c r="B934" s="2" t="n"/>
      <c r="E934" s="4" t="n"/>
    </row>
    <row r="935" ht="15.75" customHeight="1">
      <c r="B935" s="2" t="n"/>
      <c r="E935" s="4" t="n"/>
    </row>
    <row r="936" ht="15.75" customHeight="1">
      <c r="B936" s="2" t="n"/>
      <c r="E936" s="4" t="n"/>
    </row>
    <row r="937" ht="15.75" customHeight="1">
      <c r="B937" s="2" t="n"/>
      <c r="E937" s="4" t="n"/>
    </row>
    <row r="938" ht="15.75" customHeight="1">
      <c r="B938" s="2" t="n"/>
      <c r="E938" s="4" t="n"/>
    </row>
    <row r="939" ht="15.75" customHeight="1">
      <c r="B939" s="2" t="n"/>
      <c r="E939" s="4" t="n"/>
    </row>
    <row r="940" ht="15.75" customHeight="1">
      <c r="B940" s="2" t="n"/>
      <c r="E940" s="4" t="n"/>
    </row>
    <row r="941" ht="15.75" customHeight="1">
      <c r="B941" s="2" t="n"/>
      <c r="E941" s="4" t="n"/>
    </row>
    <row r="942" ht="15.75" customHeight="1">
      <c r="B942" s="2" t="n"/>
      <c r="E942" s="4" t="n"/>
    </row>
    <row r="943" ht="15.75" customHeight="1">
      <c r="B943" s="2" t="n"/>
      <c r="E943" s="4" t="n"/>
    </row>
    <row r="944" ht="15.75" customHeight="1">
      <c r="B944" s="2" t="n"/>
      <c r="E944" s="4" t="n"/>
    </row>
    <row r="945" ht="15.75" customHeight="1">
      <c r="B945" s="2" t="n"/>
      <c r="E945" s="4" t="n"/>
    </row>
    <row r="946" ht="15.75" customHeight="1">
      <c r="B946" s="2" t="n"/>
      <c r="E946" s="4" t="n"/>
    </row>
    <row r="947" ht="15.75" customHeight="1">
      <c r="B947" s="2" t="n"/>
      <c r="E947" s="4" t="n"/>
    </row>
    <row r="948" ht="15.75" customHeight="1">
      <c r="B948" s="2" t="n"/>
      <c r="E948" s="4" t="n"/>
    </row>
    <row r="949" ht="15.75" customHeight="1">
      <c r="B949" s="2" t="n"/>
      <c r="E949" s="4" t="n"/>
    </row>
    <row r="950" ht="15.75" customHeight="1">
      <c r="B950" s="2" t="n"/>
      <c r="E950" s="4" t="n"/>
    </row>
    <row r="951" ht="15.75" customHeight="1">
      <c r="B951" s="2" t="n"/>
      <c r="E951" s="4" t="n"/>
    </row>
    <row r="952" ht="15.75" customHeight="1">
      <c r="B952" s="2" t="n"/>
      <c r="E952" s="4" t="n"/>
    </row>
    <row r="953" ht="15.75" customHeight="1">
      <c r="B953" s="2" t="n"/>
      <c r="E953" s="4" t="n"/>
    </row>
    <row r="954" ht="15.75" customHeight="1">
      <c r="B954" s="2" t="n"/>
      <c r="E954" s="4" t="n"/>
    </row>
    <row r="955" ht="15.75" customHeight="1">
      <c r="B955" s="2" t="n"/>
      <c r="E955" s="4" t="n"/>
    </row>
    <row r="956" ht="15.75" customHeight="1">
      <c r="B956" s="2" t="n"/>
      <c r="E956" s="4" t="n"/>
    </row>
    <row r="957" ht="15.75" customHeight="1">
      <c r="B957" s="2" t="n"/>
      <c r="E957" s="4" t="n"/>
    </row>
    <row r="958" ht="15.75" customHeight="1">
      <c r="B958" s="2" t="n"/>
      <c r="E958" s="4" t="n"/>
    </row>
    <row r="959" ht="15.75" customHeight="1">
      <c r="B959" s="2" t="n"/>
      <c r="E959" s="4" t="n"/>
    </row>
    <row r="960" ht="15.75" customHeight="1">
      <c r="B960" s="2" t="n"/>
      <c r="E960" s="4" t="n"/>
    </row>
    <row r="961" ht="15.75" customHeight="1">
      <c r="B961" s="2" t="n"/>
      <c r="E961" s="4" t="n"/>
    </row>
    <row r="962" ht="15.75" customHeight="1">
      <c r="B962" s="2" t="n"/>
      <c r="E962" s="4" t="n"/>
    </row>
    <row r="963" ht="15.75" customHeight="1">
      <c r="B963" s="2" t="n"/>
      <c r="E963" s="4" t="n"/>
    </row>
    <row r="964" ht="15.75" customHeight="1">
      <c r="B964" s="2" t="n"/>
      <c r="E964" s="4" t="n"/>
    </row>
    <row r="965" ht="15.75" customHeight="1">
      <c r="B965" s="2" t="n"/>
      <c r="E965" s="4" t="n"/>
    </row>
    <row r="966" ht="15.75" customHeight="1">
      <c r="B966" s="2" t="n"/>
      <c r="E966" s="4" t="n"/>
    </row>
    <row r="967" ht="15.75" customHeight="1">
      <c r="B967" s="2" t="n"/>
      <c r="E967" s="4" t="n"/>
    </row>
    <row r="968" ht="15.75" customHeight="1">
      <c r="B968" s="2" t="n"/>
      <c r="E968" s="4" t="n"/>
    </row>
    <row r="969" ht="15.75" customHeight="1">
      <c r="B969" s="2" t="n"/>
      <c r="E969" s="4" t="n"/>
    </row>
    <row r="970" ht="15.75" customHeight="1">
      <c r="B970" s="2" t="n"/>
      <c r="E970" s="4" t="n"/>
    </row>
    <row r="971" ht="15.75" customHeight="1">
      <c r="B971" s="2" t="n"/>
      <c r="E971" s="4" t="n"/>
    </row>
    <row r="972" ht="15.75" customHeight="1">
      <c r="B972" s="2" t="n"/>
      <c r="E972" s="4" t="n"/>
    </row>
    <row r="973" ht="15.75" customHeight="1">
      <c r="B973" s="2" t="n"/>
      <c r="E973" s="4" t="n"/>
    </row>
    <row r="974" ht="15.75" customHeight="1">
      <c r="B974" s="2" t="n"/>
      <c r="E974" s="4" t="n"/>
    </row>
    <row r="975" ht="15.75" customHeight="1">
      <c r="B975" s="2" t="n"/>
      <c r="E975" s="4" t="n"/>
    </row>
    <row r="976" ht="15.75" customHeight="1">
      <c r="B976" s="2" t="n"/>
      <c r="E976" s="4" t="n"/>
    </row>
    <row r="977" ht="15.75" customHeight="1">
      <c r="B977" s="2" t="n"/>
      <c r="E977" s="4" t="n"/>
    </row>
    <row r="978" ht="15.75" customHeight="1">
      <c r="B978" s="2" t="n"/>
      <c r="E978" s="4" t="n"/>
    </row>
    <row r="979" ht="15.75" customHeight="1">
      <c r="B979" s="2" t="n"/>
      <c r="E979" s="4" t="n"/>
    </row>
    <row r="980" ht="15.75" customHeight="1">
      <c r="B980" s="2" t="n"/>
      <c r="E980" s="4" t="n"/>
    </row>
    <row r="981" ht="15.75" customHeight="1">
      <c r="B981" s="2" t="n"/>
      <c r="E981" s="4" t="n"/>
    </row>
    <row r="982" ht="15.75" customHeight="1">
      <c r="B982" s="2" t="n"/>
      <c r="E982" s="4" t="n"/>
    </row>
    <row r="983" ht="15.75" customHeight="1">
      <c r="B983" s="2" t="n"/>
      <c r="E983" s="4" t="n"/>
    </row>
    <row r="984" ht="15.75" customHeight="1">
      <c r="B984" s="2" t="n"/>
      <c r="E984" s="4" t="n"/>
    </row>
    <row r="985" ht="15.75" customHeight="1">
      <c r="B985" s="2" t="n"/>
      <c r="E985" s="4" t="n"/>
    </row>
    <row r="986" ht="15.75" customHeight="1">
      <c r="B986" s="2" t="n"/>
      <c r="E986" s="4" t="n"/>
    </row>
    <row r="987" ht="15.75" customHeight="1">
      <c r="B987" s="2" t="n"/>
      <c r="E987" s="4" t="n"/>
    </row>
    <row r="988" ht="15.75" customHeight="1">
      <c r="B988" s="2" t="n"/>
      <c r="E988" s="4" t="n"/>
    </row>
    <row r="989" ht="15.75" customHeight="1">
      <c r="B989" s="2" t="n"/>
      <c r="E989" s="4" t="n"/>
    </row>
    <row r="990" ht="15.75" customHeight="1">
      <c r="B990" s="2" t="n"/>
      <c r="E990" s="4" t="n"/>
    </row>
    <row r="991" ht="15.75" customHeight="1">
      <c r="B991" s="2" t="n"/>
      <c r="E991" s="4" t="n"/>
    </row>
    <row r="992" ht="15.75" customHeight="1">
      <c r="B992" s="2" t="n"/>
      <c r="E992" s="4" t="n"/>
    </row>
    <row r="993" ht="15.75" customHeight="1">
      <c r="B993" s="2" t="n"/>
      <c r="E993" s="4" t="n"/>
    </row>
    <row r="994" ht="15.75" customHeight="1">
      <c r="B994" s="2" t="n"/>
      <c r="E994" s="4" t="n"/>
    </row>
    <row r="995" ht="15.75" customHeight="1">
      <c r="B995" s="2" t="n"/>
      <c r="E995" s="4" t="n"/>
    </row>
    <row r="996" ht="15.75" customHeight="1">
      <c r="B996" s="2" t="n"/>
      <c r="E996" s="4" t="n"/>
    </row>
    <row r="997" ht="15.75" customHeight="1">
      <c r="B997" s="2" t="n"/>
      <c r="E997" s="4" t="n"/>
    </row>
    <row r="998" ht="15.75" customHeight="1">
      <c r="B998" s="2" t="n"/>
      <c r="E998" s="4" t="n"/>
    </row>
    <row r="999" ht="15.75" customHeight="1">
      <c r="B999" s="2" t="n"/>
      <c r="E999" s="4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95"/>
  <sheetViews>
    <sheetView tabSelected="1" topLeftCell="A37" workbookViewId="0">
      <selection activeCell="E50" sqref="E50"/>
    </sheetView>
  </sheetViews>
  <sheetFormatPr baseColWidth="10" defaultColWidth="14.42578125" defaultRowHeight="15" customHeight="1"/>
  <cols>
    <col width="4.42578125" customWidth="1" min="1" max="1"/>
    <col width="8" customWidth="1" min="2" max="2"/>
    <col width="28.85546875" customWidth="1" min="3" max="3"/>
    <col width="13.5703125" customWidth="1" min="4" max="4"/>
    <col width="11.42578125" customWidth="1" min="5" max="5"/>
    <col width="10.7109375" customWidth="1" min="6" max="7"/>
    <col width="15.85546875" customWidth="1" min="8" max="9"/>
    <col width="13" customWidth="1" min="10" max="10"/>
    <col width="43.28515625" customWidth="1" min="11" max="11"/>
    <col width="10.7109375" customWidth="1" min="12" max="27"/>
  </cols>
  <sheetData>
    <row r="1" ht="36" customHeight="1">
      <c r="A1" s="1" t="inlineStr">
        <is>
          <t>Factures Rebudes</t>
        </is>
      </c>
      <c r="B1" s="2" t="n"/>
      <c r="D1" s="3" t="n"/>
      <c r="E1" s="4" t="n"/>
      <c r="F1" s="5" t="n"/>
    </row>
    <row r="2">
      <c r="B2" s="2" t="n"/>
      <c r="E2" s="4" t="n"/>
    </row>
    <row r="3">
      <c r="A3" s="6" t="inlineStr">
        <is>
          <t>Rhinomer, S.A.</t>
        </is>
      </c>
      <c r="B3" s="2" t="n"/>
      <c r="E3" s="4" t="n"/>
    </row>
    <row r="4">
      <c r="A4" s="7" t="inlineStr">
        <is>
          <t>C/ Biel, 22</t>
        </is>
      </c>
      <c r="B4" s="2" t="n"/>
      <c r="E4" s="4" t="n"/>
    </row>
    <row r="5">
      <c r="A5" s="7" t="inlineStr">
        <is>
          <t>43001 Tarragona</t>
        </is>
      </c>
      <c r="B5" s="2" t="n"/>
      <c r="E5" s="4" t="n"/>
    </row>
    <row r="6">
      <c r="A6" s="6" t="inlineStr">
        <is>
          <t>Període: De 01-Gener a 31-Març</t>
        </is>
      </c>
      <c r="B6" s="2" t="n"/>
      <c r="E6" s="4" t="n"/>
    </row>
    <row r="7">
      <c r="A7" s="6" t="n"/>
      <c r="B7" s="2" t="n"/>
      <c r="E7" s="4" t="n"/>
      <c r="G7" s="7" t="n">
        <v>0.21</v>
      </c>
    </row>
    <row r="8">
      <c r="A8" s="8" t="inlineStr">
        <is>
          <t>Nº</t>
        </is>
      </c>
      <c r="B8" s="9" t="inlineStr">
        <is>
          <t>Data</t>
        </is>
      </c>
      <c r="C8" s="10" t="inlineStr">
        <is>
          <t>Expedidor</t>
        </is>
      </c>
      <c r="D8" s="10" t="inlineStr">
        <is>
          <t>N.I.F.</t>
        </is>
      </c>
      <c r="E8" s="10" t="inlineStr">
        <is>
          <t>Nº Factura</t>
        </is>
      </c>
      <c r="F8" s="10" t="inlineStr">
        <is>
          <t>Base Imp.</t>
        </is>
      </c>
      <c r="G8" s="10" t="inlineStr">
        <is>
          <t>% IVA</t>
        </is>
      </c>
      <c r="H8" s="10" t="inlineStr">
        <is>
          <t>IVA</t>
        </is>
      </c>
      <c r="I8" s="71" t="inlineStr">
        <is>
          <t>IRPF</t>
        </is>
      </c>
      <c r="J8" s="11" t="inlineStr">
        <is>
          <t>Total factura</t>
        </is>
      </c>
      <c r="K8" s="12" t="inlineStr">
        <is>
          <t>Comentaris</t>
        </is>
      </c>
    </row>
    <row r="9">
      <c r="A9" s="13" t="n">
        <v>1</v>
      </c>
      <c r="B9" s="232" t="n">
        <v>45992</v>
      </c>
      <c r="C9" s="187" t="inlineStr">
        <is>
          <t>REPSOL</t>
        </is>
      </c>
      <c r="D9" s="14" t="inlineStr">
        <is>
          <t>B81041444</t>
        </is>
      </c>
      <c r="E9" s="15" t="n">
        <v>3365</v>
      </c>
      <c r="F9" s="25" t="n">
        <v>300</v>
      </c>
      <c r="G9" s="15" t="n">
        <v>21</v>
      </c>
      <c r="H9" s="25">
        <f>F9*$G$7</f>
        <v/>
      </c>
      <c r="I9" s="25" t="n"/>
      <c r="J9" s="25">
        <f>F9+H9</f>
        <v/>
      </c>
      <c r="K9" s="17" t="n"/>
    </row>
    <row r="10">
      <c r="A10" s="18" t="n">
        <v>2</v>
      </c>
      <c r="B10" s="232" t="n">
        <v>46010</v>
      </c>
      <c r="C10" s="59" t="inlineStr">
        <is>
          <t>RUFASA, S.A.</t>
        </is>
      </c>
      <c r="D10" s="184" t="inlineStr">
        <is>
          <t>A2229999</t>
        </is>
      </c>
      <c r="E10" s="188" t="inlineStr">
        <is>
          <t>36233BA</t>
        </is>
      </c>
      <c r="F10" s="26" t="n">
        <v>-90</v>
      </c>
      <c r="G10" s="24" t="n">
        <v>21</v>
      </c>
      <c r="H10" s="25">
        <f>F10*$G$7</f>
        <v/>
      </c>
      <c r="I10" s="25" t="n"/>
      <c r="J10" s="25">
        <f>F10+H10</f>
        <v/>
      </c>
      <c r="K10" s="190" t="inlineStr">
        <is>
          <t>abonament del mes de setembre</t>
        </is>
      </c>
    </row>
    <row r="11">
      <c r="A11" s="18" t="n">
        <v>3</v>
      </c>
      <c r="B11" s="19" t="n">
        <v>46013</v>
      </c>
      <c r="C11" s="59" t="inlineStr">
        <is>
          <t>GIVEME5</t>
        </is>
      </c>
      <c r="D11" s="184" t="inlineStr">
        <is>
          <t>DK08965214</t>
        </is>
      </c>
      <c r="E11" s="24" t="n">
        <v>89666</v>
      </c>
      <c r="F11" s="26" t="n">
        <v>753</v>
      </c>
      <c r="G11" s="24" t="n">
        <v>0</v>
      </c>
      <c r="H11" s="25" t="n">
        <v>0</v>
      </c>
      <c r="I11" s="25" t="n"/>
      <c r="J11" s="25">
        <f>F11+H11</f>
        <v/>
      </c>
      <c r="K11" s="185" t="inlineStr">
        <is>
          <t xml:space="preserve">operació intracomunitaria corrent </t>
        </is>
      </c>
    </row>
    <row r="12">
      <c r="A12" s="18" t="n">
        <v>4</v>
      </c>
      <c r="B12" s="19" t="n">
        <v>46014</v>
      </c>
      <c r="C12" s="59" t="inlineStr">
        <is>
          <t>CHILE IND</t>
        </is>
      </c>
      <c r="D12" s="20" t="n">
        <v>7979</v>
      </c>
      <c r="E12" s="24" t="n">
        <v>22</v>
      </c>
      <c r="F12" s="26" t="n">
        <v>1050</v>
      </c>
      <c r="G12" s="24" t="n">
        <v>0</v>
      </c>
      <c r="H12" s="25" t="n">
        <v>0</v>
      </c>
      <c r="I12" s="25" t="n"/>
      <c r="J12" s="25">
        <f>F12+H12</f>
        <v/>
      </c>
      <c r="K12" s="17" t="inlineStr">
        <is>
          <t>operació importació bens corrents</t>
        </is>
      </c>
    </row>
    <row r="13">
      <c r="A13" s="18" t="n">
        <v>5</v>
      </c>
      <c r="B13" s="19" t="n">
        <v>46018</v>
      </c>
      <c r="C13" s="23" t="inlineStr">
        <is>
          <t>SEUR</t>
        </is>
      </c>
      <c r="D13" s="20" t="inlineStr">
        <is>
          <t>A79707345</t>
        </is>
      </c>
      <c r="E13" s="24" t="n">
        <v>65959</v>
      </c>
      <c r="F13" s="26" t="n">
        <v>200</v>
      </c>
      <c r="G13" s="24" t="n">
        <v>21</v>
      </c>
      <c r="H13" s="25" t="n">
        <v>42</v>
      </c>
      <c r="I13" s="25" t="n"/>
      <c r="J13" s="25">
        <f>F13+H13</f>
        <v/>
      </c>
      <c r="K13" s="17" t="inlineStr">
        <is>
          <t>transport de la factura anterior</t>
        </is>
      </c>
    </row>
    <row r="14">
      <c r="A14" s="13" t="n">
        <v>6</v>
      </c>
      <c r="B14" s="19" t="n">
        <v>46006</v>
      </c>
      <c r="C14" s="23" t="inlineStr">
        <is>
          <t>AEAT</t>
        </is>
      </c>
      <c r="D14" s="20" t="n"/>
      <c r="E14" s="24" t="n">
        <v>62695</v>
      </c>
      <c r="F14" s="26" t="n">
        <v>1050</v>
      </c>
      <c r="G14" s="24" t="n">
        <v>21</v>
      </c>
      <c r="H14" s="25">
        <f>F14*$G$7</f>
        <v/>
      </c>
      <c r="I14" s="25" t="n"/>
      <c r="J14" s="25">
        <f>F14+H14</f>
        <v/>
      </c>
      <c r="K14" s="17" t="inlineStr">
        <is>
          <t>IVA de l'importació anterior</t>
        </is>
      </c>
    </row>
    <row r="15">
      <c r="A15" s="18" t="n">
        <v>7</v>
      </c>
      <c r="B15" s="19" t="n">
        <v>46007</v>
      </c>
      <c r="C15" s="59" t="inlineStr">
        <is>
          <t>RENTING</t>
        </is>
      </c>
      <c r="D15" s="20" t="inlineStr">
        <is>
          <t>A79707345</t>
        </is>
      </c>
      <c r="E15" s="24" t="n">
        <v>32323</v>
      </c>
      <c r="F15" s="26" t="n">
        <v>1420</v>
      </c>
      <c r="G15" s="24" t="n">
        <v>21</v>
      </c>
      <c r="H15" s="25">
        <f>F15*$G$7</f>
        <v/>
      </c>
      <c r="I15" s="25" t="n"/>
      <c r="J15" s="25">
        <f>F15+H15</f>
        <v/>
      </c>
      <c r="K15" s="57" t="inlineStr">
        <is>
          <t>Renting cotxe</t>
        </is>
      </c>
    </row>
    <row r="16">
      <c r="A16" s="18" t="n">
        <v>8</v>
      </c>
      <c r="B16" s="19" t="n">
        <v>46011</v>
      </c>
      <c r="C16" s="59" t="inlineStr">
        <is>
          <t>BURGUER KING</t>
        </is>
      </c>
      <c r="D16" s="20" t="inlineStr">
        <is>
          <t>A80298839</t>
        </is>
      </c>
      <c r="E16" s="24" t="n">
        <v>5556</v>
      </c>
      <c r="F16" s="26" t="n">
        <v>25</v>
      </c>
      <c r="G16" s="24" t="n">
        <v>21</v>
      </c>
      <c r="H16" s="25">
        <f>F16*$G$7</f>
        <v/>
      </c>
      <c r="I16" s="25" t="n"/>
      <c r="J16" s="25">
        <f>F16+H16</f>
        <v/>
      </c>
      <c r="K16" s="190" t="inlineStr">
        <is>
          <t>Factura simplificada</t>
        </is>
      </c>
    </row>
    <row r="17">
      <c r="A17" s="18" t="n">
        <v>9</v>
      </c>
      <c r="B17" s="19" t="n">
        <v>46019</v>
      </c>
      <c r="C17" s="59" t="inlineStr">
        <is>
          <t>VODAFONE</t>
        </is>
      </c>
      <c r="D17" s="20" t="inlineStr">
        <is>
          <t>A82018474</t>
        </is>
      </c>
      <c r="E17" s="24" t="n">
        <v>4141</v>
      </c>
      <c r="F17" s="26" t="n">
        <v>150</v>
      </c>
      <c r="G17" s="24" t="n">
        <v>21</v>
      </c>
      <c r="H17" s="25">
        <f>F17*$G$7</f>
        <v/>
      </c>
      <c r="I17" s="25" t="n"/>
      <c r="J17" s="25">
        <f>F17+H17</f>
        <v/>
      </c>
    </row>
    <row r="18">
      <c r="A18" s="18" t="n">
        <v>14</v>
      </c>
      <c r="B18" s="19" t="n">
        <v>45992</v>
      </c>
      <c r="C18" s="59" t="inlineStr">
        <is>
          <t>PLATANO DE CANARIAS</t>
        </is>
      </c>
      <c r="D18" s="184" t="inlineStr">
        <is>
          <t>B63333899</t>
        </is>
      </c>
      <c r="E18" s="24" t="n">
        <v>123</v>
      </c>
      <c r="F18" s="26" t="n">
        <v>350</v>
      </c>
      <c r="G18" s="24" t="n">
        <v>0</v>
      </c>
      <c r="H18" s="25" t="n"/>
      <c r="I18" s="25" t="n"/>
      <c r="J18" s="25">
        <f>F18+H18</f>
        <v/>
      </c>
      <c r="K18" s="194" t="inlineStr">
        <is>
          <t>Factura de Canaries</t>
        </is>
      </c>
    </row>
    <row r="19">
      <c r="A19" s="18" t="n">
        <v>15</v>
      </c>
      <c r="B19" s="19" t="n">
        <v>45993</v>
      </c>
      <c r="C19" s="59" t="inlineStr">
        <is>
          <t>ARQUITECTOS UNIDOS</t>
        </is>
      </c>
      <c r="D19" s="20" t="inlineStr">
        <is>
          <t>A82009812</t>
        </is>
      </c>
      <c r="E19" s="24" t="n">
        <v>6599</v>
      </c>
      <c r="F19" s="26" t="n">
        <v>12000</v>
      </c>
      <c r="G19" s="24" t="n">
        <v>21</v>
      </c>
      <c r="H19" s="25">
        <f>F19*$G$7</f>
        <v/>
      </c>
      <c r="I19" s="25">
        <f>F19*0.19</f>
        <v/>
      </c>
      <c r="J19" s="25">
        <f>F19+H19-I19</f>
        <v/>
      </c>
      <c r="K19" s="194" t="inlineStr">
        <is>
          <t>Factura de professional independent</t>
        </is>
      </c>
    </row>
    <row r="20">
      <c r="A20" s="18" t="n">
        <v>16</v>
      </c>
      <c r="B20" s="19" t="n">
        <v>46009</v>
      </c>
      <c r="C20" s="59" t="inlineStr">
        <is>
          <t>ALQUILERES JUNTOS</t>
        </is>
      </c>
      <c r="D20" s="184" t="inlineStr">
        <is>
          <t>B6393469</t>
        </is>
      </c>
      <c r="E20" s="188" t="inlineStr">
        <is>
          <t>NN363</t>
        </is>
      </c>
      <c r="F20" s="26" t="n">
        <v>555</v>
      </c>
      <c r="G20" s="24" t="n">
        <v>21</v>
      </c>
      <c r="H20" s="25">
        <f>F20*$G$7</f>
        <v/>
      </c>
      <c r="I20" s="25">
        <f>F20*0.19</f>
        <v/>
      </c>
      <c r="J20" s="25">
        <f>F20+H20-I20</f>
        <v/>
      </c>
      <c r="K20" s="194" t="inlineStr">
        <is>
          <t>Factura lloguer del local</t>
        </is>
      </c>
    </row>
    <row r="21">
      <c r="A21" s="18" t="n">
        <v>17</v>
      </c>
      <c r="B21" s="19" t="n">
        <v>46012</v>
      </c>
      <c r="C21" s="59" t="inlineStr">
        <is>
          <t>LENOVO</t>
        </is>
      </c>
      <c r="D21" s="184" t="inlineStr">
        <is>
          <t>IT66349</t>
        </is>
      </c>
      <c r="E21" s="24" t="n">
        <v>3373</v>
      </c>
      <c r="F21" s="26" t="n">
        <v>290</v>
      </c>
      <c r="G21" s="24" t="n">
        <v>0</v>
      </c>
      <c r="H21" s="25" t="n">
        <v>0</v>
      </c>
      <c r="I21" s="25" t="n"/>
      <c r="J21" s="25">
        <f>F21+H21</f>
        <v/>
      </c>
      <c r="K21" s="190" t="inlineStr">
        <is>
          <t>operació intracomunitaria de compra de tablets</t>
        </is>
      </c>
    </row>
    <row r="22">
      <c r="A22" s="18" t="n">
        <v>18</v>
      </c>
      <c r="B22" s="19" t="n">
        <v>46014</v>
      </c>
      <c r="C22" s="59" t="inlineStr">
        <is>
          <t>MAPFRE</t>
        </is>
      </c>
      <c r="D22" s="184" t="inlineStr">
        <is>
          <t>B54465</t>
        </is>
      </c>
      <c r="E22" s="24" t="n"/>
      <c r="F22" s="26" t="n">
        <v>666</v>
      </c>
      <c r="G22" s="24" t="n">
        <v>0</v>
      </c>
      <c r="H22" s="26" t="n">
        <v>0</v>
      </c>
      <c r="I22" s="25" t="n"/>
      <c r="J22" s="25">
        <f>F22+H22</f>
        <v/>
      </c>
      <c r="K22" s="55" t="inlineStr">
        <is>
          <t>Assegurança</t>
        </is>
      </c>
    </row>
    <row r="23">
      <c r="A23" s="18" t="n">
        <v>19</v>
      </c>
      <c r="B23" s="19" t="n">
        <v>46022</v>
      </c>
      <c r="C23" s="59" t="inlineStr">
        <is>
          <t>VOLKSWAGEN</t>
        </is>
      </c>
      <c r="D23" s="184" t="inlineStr">
        <is>
          <t>A6516156</t>
        </is>
      </c>
      <c r="E23" s="24" t="n">
        <v>1111</v>
      </c>
      <c r="F23" s="26" t="n">
        <v>19000</v>
      </c>
      <c r="G23" s="24" t="n">
        <v>21</v>
      </c>
      <c r="H23" s="26">
        <f>F23*$G$7</f>
        <v/>
      </c>
      <c r="I23" s="25" t="n"/>
      <c r="J23" s="25">
        <f>F23+H23</f>
        <v/>
      </c>
      <c r="K23" s="190" t="inlineStr">
        <is>
          <t>Compra d'una furgoneta</t>
        </is>
      </c>
    </row>
    <row r="24" ht="15.75" customHeight="1">
      <c r="B24" s="2" t="n"/>
      <c r="E24" s="4" t="n"/>
      <c r="G24" s="4" t="n"/>
      <c r="H24" s="27" t="n"/>
      <c r="I24" s="27" t="n"/>
      <c r="J24" s="27" t="n"/>
    </row>
    <row r="25" ht="15.75" customHeight="1">
      <c r="A25" s="18" t="n"/>
      <c r="B25" s="28" t="n"/>
      <c r="C25" s="29" t="inlineStr">
        <is>
          <t>TOTAL</t>
        </is>
      </c>
      <c r="D25" s="29" t="n"/>
      <c r="E25" s="30" t="n"/>
      <c r="F25" s="26">
        <f>SUM(F9:F24)</f>
        <v/>
      </c>
      <c r="G25" s="31" t="n"/>
      <c r="H25" s="26">
        <f>SUM(H9:H24)</f>
        <v/>
      </c>
      <c r="I25" s="26" t="n"/>
      <c r="J25" s="26">
        <f>SUM(J9:J24)</f>
        <v/>
      </c>
    </row>
    <row r="26" ht="15.75" customHeight="1">
      <c r="B26" s="2" t="n"/>
      <c r="E26" s="4" t="n"/>
      <c r="G26" s="4" t="n"/>
      <c r="H26" s="27" t="n"/>
      <c r="I26" s="27" t="n"/>
      <c r="J26" s="27" t="n"/>
    </row>
    <row r="27" ht="15.75" customHeight="1">
      <c r="B27" s="2" t="n"/>
      <c r="E27" s="4" t="n"/>
    </row>
    <row r="28" ht="15.75" customHeight="1">
      <c r="B28" s="2" t="n"/>
      <c r="C28" s="70" t="inlineStr">
        <is>
          <t>Operacions interiors</t>
        </is>
      </c>
      <c r="E28" s="4" t="n"/>
      <c r="F28" s="32" t="inlineStr">
        <is>
          <t xml:space="preserve"> BASES:</t>
        </is>
      </c>
      <c r="G28" s="32" t="inlineStr">
        <is>
          <t>TIPUS %IVA</t>
        </is>
      </c>
      <c r="H28" s="72" t="inlineStr">
        <is>
          <t>IVA REPERCUTIT</t>
        </is>
      </c>
    </row>
    <row r="29" ht="15.75" customHeight="1">
      <c r="B29" s="2" t="n"/>
      <c r="E29" s="4" t="n"/>
      <c r="F29" s="34" t="n">
        <v>33560</v>
      </c>
      <c r="G29" s="34" t="n">
        <v>21</v>
      </c>
      <c r="H29" s="34" t="n">
        <v>7047.6</v>
      </c>
    </row>
    <row r="30" ht="15.75" customHeight="1">
      <c r="B30" s="2" t="n"/>
      <c r="E30" s="4" t="n"/>
      <c r="F30" s="34" t="n">
        <v>0</v>
      </c>
      <c r="G30" s="34" t="n">
        <v>10</v>
      </c>
      <c r="H30" s="34" t="n">
        <v>0</v>
      </c>
    </row>
    <row r="31" ht="15.75" customHeight="1">
      <c r="B31" s="2" t="n"/>
      <c r="E31" s="4" t="n"/>
      <c r="F31" s="34" t="n">
        <v>0</v>
      </c>
      <c r="G31" s="34" t="n">
        <v>4</v>
      </c>
      <c r="H31" s="34" t="n">
        <v>0</v>
      </c>
    </row>
    <row r="32" ht="15.75" customHeight="1" thickBot="1">
      <c r="B32" s="2" t="n"/>
      <c r="E32" s="4" t="n"/>
      <c r="F32" s="35" t="n"/>
      <c r="G32" s="36" t="n"/>
      <c r="H32" s="35" t="n"/>
    </row>
    <row r="33" ht="15.75" customHeight="1" thickBot="1">
      <c r="B33" s="2" t="n"/>
      <c r="E33" s="231" t="inlineStr">
        <is>
          <t>Total mes</t>
        </is>
      </c>
      <c r="F33" s="37">
        <f>SUM(F29:F32)</f>
        <v/>
      </c>
      <c r="G33" s="38" t="n"/>
      <c r="H33" s="39">
        <f>SUM(H29:H32)</f>
        <v/>
      </c>
    </row>
    <row r="34" ht="15.75" customHeight="1">
      <c r="B34" s="2" t="n"/>
      <c r="E34" s="4" t="n"/>
    </row>
    <row r="35" ht="15.75" customHeight="1">
      <c r="B35" s="2" t="n"/>
      <c r="E35" s="4" t="n"/>
    </row>
    <row r="36" ht="15.75" customHeight="1">
      <c r="B36" s="2" t="n"/>
      <c r="C36" s="70" t="inlineStr">
        <is>
          <t>Operacions intracomunitàries</t>
        </is>
      </c>
      <c r="E36" s="4" t="n"/>
      <c r="F36" s="32" t="inlineStr">
        <is>
          <t xml:space="preserve"> BASES:</t>
        </is>
      </c>
      <c r="G36" s="32" t="inlineStr">
        <is>
          <t>TIPUS %IVA</t>
        </is>
      </c>
      <c r="H36" s="72" t="inlineStr">
        <is>
          <t>IVA REPERCUTIT</t>
        </is>
      </c>
    </row>
    <row r="37" ht="15.75" customHeight="1">
      <c r="B37" s="2" t="n"/>
      <c r="E37" s="4" t="n"/>
      <c r="F37" s="34" t="n">
        <v>1043</v>
      </c>
      <c r="G37" s="34" t="n">
        <v>21</v>
      </c>
      <c r="H37" s="34" t="n">
        <v>0</v>
      </c>
    </row>
    <row r="38" ht="15.75" customHeight="1">
      <c r="B38" s="2" t="n"/>
      <c r="E38" s="4" t="n"/>
      <c r="F38" s="34" t="n"/>
      <c r="G38" s="34" t="n">
        <v>10</v>
      </c>
      <c r="H38" s="34" t="n"/>
    </row>
    <row r="39" ht="15.75" customHeight="1">
      <c r="B39" s="2" t="n"/>
      <c r="E39" s="4" t="n"/>
      <c r="F39" s="34" t="n"/>
      <c r="G39" s="34" t="n">
        <v>4</v>
      </c>
      <c r="H39" s="34" t="n"/>
    </row>
    <row r="40" ht="15.75" customHeight="1" thickBot="1">
      <c r="B40" s="2" t="n"/>
      <c r="E40" s="4" t="n"/>
      <c r="F40" s="35" t="n"/>
      <c r="G40" s="36" t="n"/>
      <c r="H40" s="35" t="n"/>
    </row>
    <row r="41" ht="15.75" customHeight="1" thickBot="1">
      <c r="B41" s="2" t="n"/>
      <c r="E41" s="231" t="inlineStr">
        <is>
          <t>Total mes</t>
        </is>
      </c>
      <c r="F41" s="37">
        <f>SUM(F37:F40)</f>
        <v/>
      </c>
      <c r="G41" s="38" t="n"/>
      <c r="H41" s="39">
        <f>SUM(H37:H40)</f>
        <v/>
      </c>
    </row>
    <row r="42" ht="15.75" customHeight="1">
      <c r="B42" s="2" t="n"/>
      <c r="E42" s="41" t="n"/>
    </row>
    <row r="43" ht="15.75" customHeight="1">
      <c r="B43" s="2" t="n"/>
      <c r="E43" s="41" t="n"/>
    </row>
    <row r="44" ht="15.75" customHeight="1">
      <c r="B44" s="2" t="n"/>
      <c r="C44" s="70" t="inlineStr">
        <is>
          <t>Operacions importació</t>
        </is>
      </c>
      <c r="E44" s="4" t="n"/>
      <c r="F44" s="32" t="inlineStr">
        <is>
          <t xml:space="preserve"> BASES:</t>
        </is>
      </c>
      <c r="G44" s="32" t="inlineStr">
        <is>
          <t>TIPUS %IVA</t>
        </is>
      </c>
      <c r="H44" s="72" t="inlineStr">
        <is>
          <t>IVA REPERCUTIT</t>
        </is>
      </c>
    </row>
    <row r="45" ht="15.75" customHeight="1">
      <c r="B45" s="2" t="n"/>
      <c r="E45" s="4" t="n"/>
      <c r="F45" s="34" t="n">
        <v>1050</v>
      </c>
      <c r="G45" s="34" t="n">
        <v>21</v>
      </c>
      <c r="H45" s="34" t="n">
        <v>220.5</v>
      </c>
    </row>
    <row r="46" ht="15.75" customHeight="1">
      <c r="B46" s="2" t="n"/>
      <c r="E46" s="4" t="n"/>
      <c r="F46" s="34" t="n"/>
      <c r="G46" s="34" t="n">
        <v>10</v>
      </c>
      <c r="H46" s="34" t="n"/>
    </row>
    <row r="47" ht="15.75" customHeight="1">
      <c r="B47" s="2" t="n"/>
      <c r="E47" s="4" t="n"/>
      <c r="F47" s="34" t="n"/>
      <c r="G47" s="34" t="n">
        <v>4</v>
      </c>
      <c r="H47" s="34" t="n"/>
    </row>
    <row r="48" ht="15.75" customHeight="1" thickBot="1">
      <c r="B48" s="2" t="n"/>
      <c r="E48" s="4" t="n"/>
      <c r="F48" s="35" t="n"/>
      <c r="G48" s="36" t="n"/>
      <c r="H48" s="35" t="n"/>
    </row>
    <row r="49" ht="15.75" customHeight="1" thickBot="1">
      <c r="B49" s="2" t="n"/>
      <c r="E49" s="231" t="inlineStr">
        <is>
          <t>Total mes</t>
        </is>
      </c>
      <c r="F49" s="37">
        <f>SUM(F45:F48)</f>
        <v/>
      </c>
      <c r="G49" s="38" t="n"/>
      <c r="H49" s="39">
        <f>SUM(H45:H48)</f>
        <v/>
      </c>
    </row>
    <row r="50" ht="15.75" customHeight="1">
      <c r="B50" s="2" t="n"/>
      <c r="E50" s="4" t="n"/>
    </row>
    <row r="51" ht="15.75" customHeight="1">
      <c r="B51" s="2" t="n"/>
      <c r="E51" s="4" t="n"/>
    </row>
    <row r="52" ht="15.75" customHeight="1">
      <c r="B52" s="2" t="n"/>
      <c r="E52" s="4" t="n"/>
    </row>
    <row r="53" ht="15.75" customHeight="1">
      <c r="B53" s="2" t="n"/>
      <c r="E53" s="4" t="n"/>
    </row>
    <row r="54" ht="15.75" customHeight="1">
      <c r="B54" s="2" t="n"/>
      <c r="E54" s="4" t="n"/>
    </row>
    <row r="55" ht="15.75" customHeight="1">
      <c r="B55" s="2" t="n"/>
      <c r="E55" s="4" t="n"/>
    </row>
    <row r="56" ht="15.75" customHeight="1">
      <c r="B56" s="2" t="n"/>
      <c r="E56" s="4" t="n"/>
    </row>
    <row r="57" ht="15.75" customHeight="1">
      <c r="B57" s="2" t="n"/>
      <c r="E57" s="4" t="n"/>
    </row>
    <row r="58" ht="15.75" customHeight="1">
      <c r="B58" s="2" t="n"/>
      <c r="E58" s="4" t="n"/>
    </row>
    <row r="59" ht="15.75" customHeight="1">
      <c r="B59" s="2" t="n"/>
      <c r="E59" s="4" t="n"/>
    </row>
    <row r="60" ht="15.75" customHeight="1">
      <c r="B60" s="2" t="n"/>
      <c r="E60" s="4" t="n"/>
    </row>
    <row r="61" ht="15.75" customHeight="1">
      <c r="B61" s="2" t="n"/>
      <c r="E61" s="4" t="n"/>
    </row>
    <row r="62" ht="15.75" customHeight="1">
      <c r="B62" s="2" t="n"/>
      <c r="E62" s="4" t="n"/>
    </row>
    <row r="63" ht="15.75" customHeight="1">
      <c r="B63" s="2" t="n"/>
      <c r="E63" s="4" t="n"/>
    </row>
    <row r="64" ht="15.75" customHeight="1">
      <c r="B64" s="2" t="n"/>
      <c r="E64" s="4" t="n"/>
    </row>
    <row r="65" ht="15.75" customHeight="1">
      <c r="B65" s="2" t="n"/>
      <c r="E65" s="4" t="n"/>
    </row>
    <row r="66" ht="15.75" customHeight="1">
      <c r="B66" s="2" t="n"/>
      <c r="E66" s="4" t="n"/>
    </row>
    <row r="67" ht="15.75" customHeight="1">
      <c r="B67" s="2" t="n"/>
      <c r="E67" s="4" t="n"/>
    </row>
    <row r="68" ht="15.75" customHeight="1">
      <c r="B68" s="2" t="n"/>
      <c r="E68" s="4" t="n"/>
    </row>
    <row r="69" ht="15.75" customHeight="1">
      <c r="B69" s="2" t="n"/>
      <c r="E69" s="4" t="n"/>
    </row>
    <row r="70" ht="15.75" customHeight="1">
      <c r="B70" s="2" t="n"/>
      <c r="E70" s="4" t="n"/>
    </row>
    <row r="71" ht="15.75" customHeight="1">
      <c r="B71" s="2" t="n"/>
      <c r="E71" s="4" t="n"/>
    </row>
    <row r="72" ht="15.75" customHeight="1">
      <c r="B72" s="2" t="n"/>
      <c r="E72" s="4" t="n"/>
    </row>
    <row r="73" ht="15.75" customHeight="1">
      <c r="B73" s="2" t="n"/>
      <c r="E73" s="4" t="n"/>
    </row>
    <row r="74" ht="15.75" customHeight="1">
      <c r="B74" s="2" t="n"/>
      <c r="E74" s="4" t="n"/>
    </row>
    <row r="75" ht="15.75" customHeight="1">
      <c r="B75" s="2" t="n"/>
      <c r="E75" s="4" t="n"/>
    </row>
    <row r="76" ht="15.75" customHeight="1">
      <c r="B76" s="2" t="n"/>
      <c r="E76" s="4" t="n"/>
    </row>
    <row r="77" ht="15.75" customHeight="1">
      <c r="B77" s="2" t="n"/>
      <c r="E77" s="4" t="n"/>
    </row>
    <row r="78" ht="15.75" customHeight="1">
      <c r="B78" s="2" t="n"/>
      <c r="E78" s="4" t="n"/>
    </row>
    <row r="79" ht="15.75" customHeight="1">
      <c r="B79" s="2" t="n"/>
      <c r="E79" s="4" t="n"/>
    </row>
    <row r="80" ht="15.75" customHeight="1">
      <c r="B80" s="2" t="n"/>
      <c r="E80" s="4" t="n"/>
    </row>
    <row r="81" ht="15.75" customHeight="1">
      <c r="B81" s="2" t="n"/>
      <c r="E81" s="4" t="n"/>
    </row>
    <row r="82" ht="15.75" customHeight="1">
      <c r="B82" s="2" t="n"/>
      <c r="E82" s="4" t="n"/>
    </row>
    <row r="83" ht="15.75" customHeight="1">
      <c r="B83" s="2" t="n"/>
      <c r="E83" s="4" t="n"/>
    </row>
    <row r="84" ht="15.75" customHeight="1">
      <c r="B84" s="2" t="n"/>
      <c r="E84" s="4" t="n"/>
    </row>
    <row r="85" ht="15.75" customHeight="1">
      <c r="B85" s="2" t="n"/>
      <c r="E85" s="4" t="n"/>
    </row>
    <row r="86" ht="15.75" customHeight="1">
      <c r="B86" s="2" t="n"/>
      <c r="E86" s="4" t="n"/>
    </row>
    <row r="87" ht="15.75" customHeight="1">
      <c r="B87" s="2" t="n"/>
      <c r="E87" s="4" t="n"/>
    </row>
    <row r="88" ht="15.75" customHeight="1">
      <c r="B88" s="2" t="n"/>
      <c r="E88" s="4" t="n"/>
    </row>
    <row r="89" ht="15.75" customHeight="1">
      <c r="B89" s="2" t="n"/>
      <c r="E89" s="4" t="n"/>
    </row>
    <row r="90" ht="15.75" customHeight="1">
      <c r="B90" s="2" t="n"/>
      <c r="E90" s="4" t="n"/>
    </row>
    <row r="91" ht="15.75" customHeight="1">
      <c r="B91" s="2" t="n"/>
      <c r="E91" s="4" t="n"/>
    </row>
    <row r="92" ht="15.75" customHeight="1">
      <c r="B92" s="2" t="n"/>
      <c r="E92" s="4" t="n"/>
    </row>
    <row r="93" ht="15.75" customHeight="1">
      <c r="B93" s="2" t="n"/>
      <c r="E93" s="4" t="n"/>
    </row>
    <row r="94" ht="15.75" customHeight="1">
      <c r="B94" s="2" t="n"/>
      <c r="E94" s="4" t="n"/>
    </row>
    <row r="95" ht="15.75" customHeight="1">
      <c r="B95" s="2" t="n"/>
      <c r="E95" s="4" t="n"/>
    </row>
    <row r="96" ht="15.75" customHeight="1">
      <c r="B96" s="2" t="n"/>
      <c r="E96" s="4" t="n"/>
    </row>
    <row r="97" ht="15.75" customHeight="1">
      <c r="B97" s="2" t="n"/>
      <c r="E97" s="4" t="n"/>
    </row>
    <row r="98" ht="15.75" customHeight="1">
      <c r="B98" s="2" t="n"/>
      <c r="E98" s="4" t="n"/>
    </row>
    <row r="99" ht="15.75" customHeight="1">
      <c r="B99" s="2" t="n"/>
      <c r="E99" s="4" t="n"/>
    </row>
    <row r="100" ht="15.75" customHeight="1">
      <c r="B100" s="2" t="n"/>
      <c r="E100" s="4" t="n"/>
    </row>
    <row r="101" ht="15.75" customHeight="1">
      <c r="B101" s="2" t="n"/>
      <c r="E101" s="4" t="n"/>
    </row>
    <row r="102" ht="15.75" customHeight="1">
      <c r="B102" s="2" t="n"/>
      <c r="E102" s="4" t="n"/>
    </row>
    <row r="103" ht="15.75" customHeight="1">
      <c r="B103" s="2" t="n"/>
      <c r="E103" s="4" t="n"/>
    </row>
    <row r="104" ht="15.75" customHeight="1">
      <c r="B104" s="2" t="n"/>
      <c r="E104" s="4" t="n"/>
    </row>
    <row r="105" ht="15.75" customHeight="1">
      <c r="B105" s="2" t="n"/>
      <c r="E105" s="4" t="n"/>
    </row>
    <row r="106" ht="15.75" customHeight="1">
      <c r="B106" s="2" t="n"/>
      <c r="E106" s="4" t="n"/>
    </row>
    <row r="107" ht="15.75" customHeight="1">
      <c r="B107" s="2" t="n"/>
      <c r="E107" s="4" t="n"/>
    </row>
    <row r="108" ht="15.75" customHeight="1">
      <c r="B108" s="2" t="n"/>
      <c r="E108" s="4" t="n"/>
    </row>
    <row r="109" ht="15.75" customHeight="1">
      <c r="B109" s="2" t="n"/>
      <c r="E109" s="4" t="n"/>
    </row>
    <row r="110" ht="15.75" customHeight="1">
      <c r="B110" s="2" t="n"/>
      <c r="E110" s="4" t="n"/>
    </row>
    <row r="111" ht="15.75" customHeight="1">
      <c r="B111" s="2" t="n"/>
      <c r="E111" s="4" t="n"/>
    </row>
    <row r="112" ht="15.75" customHeight="1">
      <c r="B112" s="2" t="n"/>
      <c r="E112" s="4" t="n"/>
    </row>
    <row r="113" ht="15.75" customHeight="1">
      <c r="B113" s="2" t="n"/>
      <c r="E113" s="4" t="n"/>
    </row>
    <row r="114" ht="15.75" customHeight="1">
      <c r="B114" s="2" t="n"/>
      <c r="E114" s="4" t="n"/>
    </row>
    <row r="115" ht="15.75" customHeight="1">
      <c r="B115" s="2" t="n"/>
      <c r="E115" s="4" t="n"/>
    </row>
    <row r="116" ht="15.75" customHeight="1">
      <c r="B116" s="2" t="n"/>
      <c r="E116" s="4" t="n"/>
    </row>
    <row r="117" ht="15.75" customHeight="1">
      <c r="B117" s="2" t="n"/>
      <c r="E117" s="4" t="n"/>
    </row>
    <row r="118" ht="15.75" customHeight="1">
      <c r="B118" s="2" t="n"/>
      <c r="E118" s="4" t="n"/>
    </row>
    <row r="119" ht="15.75" customHeight="1">
      <c r="B119" s="2" t="n"/>
      <c r="E119" s="4" t="n"/>
    </row>
    <row r="120" ht="15.75" customHeight="1">
      <c r="B120" s="2" t="n"/>
      <c r="E120" s="4" t="n"/>
    </row>
    <row r="121" ht="15.75" customHeight="1">
      <c r="B121" s="2" t="n"/>
      <c r="E121" s="4" t="n"/>
    </row>
    <row r="122" ht="15.75" customHeight="1">
      <c r="B122" s="2" t="n"/>
      <c r="E122" s="4" t="n"/>
    </row>
    <row r="123" ht="15.75" customHeight="1">
      <c r="B123" s="2" t="n"/>
      <c r="E123" s="4" t="n"/>
    </row>
    <row r="124" ht="15.75" customHeight="1">
      <c r="B124" s="2" t="n"/>
      <c r="E124" s="4" t="n"/>
    </row>
    <row r="125" ht="15.75" customHeight="1">
      <c r="B125" s="2" t="n"/>
      <c r="E125" s="4" t="n"/>
    </row>
    <row r="126" ht="15.75" customHeight="1">
      <c r="B126" s="2" t="n"/>
      <c r="E126" s="4" t="n"/>
    </row>
    <row r="127" ht="15.75" customHeight="1">
      <c r="B127" s="2" t="n"/>
      <c r="E127" s="4" t="n"/>
    </row>
    <row r="128" ht="15.75" customHeight="1">
      <c r="B128" s="2" t="n"/>
      <c r="E128" s="4" t="n"/>
    </row>
    <row r="129" ht="15.75" customHeight="1">
      <c r="B129" s="2" t="n"/>
      <c r="E129" s="4" t="n"/>
    </row>
    <row r="130" ht="15.75" customHeight="1">
      <c r="B130" s="2" t="n"/>
      <c r="E130" s="4" t="n"/>
    </row>
    <row r="131" ht="15.75" customHeight="1">
      <c r="B131" s="2" t="n"/>
      <c r="E131" s="4" t="n"/>
    </row>
    <row r="132" ht="15.75" customHeight="1">
      <c r="B132" s="2" t="n"/>
      <c r="E132" s="4" t="n"/>
    </row>
    <row r="133" ht="15.75" customHeight="1">
      <c r="B133" s="2" t="n"/>
      <c r="E133" s="4" t="n"/>
    </row>
    <row r="134" ht="15.75" customHeight="1">
      <c r="B134" s="2" t="n"/>
      <c r="E134" s="4" t="n"/>
    </row>
    <row r="135" ht="15.75" customHeight="1">
      <c r="B135" s="2" t="n"/>
      <c r="E135" s="4" t="n"/>
    </row>
    <row r="136" ht="15.75" customHeight="1">
      <c r="B136" s="2" t="n"/>
      <c r="E136" s="4" t="n"/>
    </row>
    <row r="137" ht="15.75" customHeight="1">
      <c r="B137" s="2" t="n"/>
      <c r="E137" s="4" t="n"/>
    </row>
    <row r="138" ht="15.75" customHeight="1">
      <c r="B138" s="2" t="n"/>
      <c r="E138" s="4" t="n"/>
    </row>
    <row r="139" ht="15.75" customHeight="1">
      <c r="B139" s="2" t="n"/>
      <c r="E139" s="4" t="n"/>
    </row>
    <row r="140" ht="15.75" customHeight="1">
      <c r="B140" s="2" t="n"/>
      <c r="E140" s="4" t="n"/>
    </row>
    <row r="141" ht="15.75" customHeight="1">
      <c r="B141" s="2" t="n"/>
      <c r="E141" s="4" t="n"/>
    </row>
    <row r="142" ht="15.75" customHeight="1">
      <c r="B142" s="2" t="n"/>
      <c r="E142" s="4" t="n"/>
    </row>
    <row r="143" ht="15.75" customHeight="1">
      <c r="B143" s="2" t="n"/>
      <c r="E143" s="4" t="n"/>
    </row>
    <row r="144" ht="15.75" customHeight="1">
      <c r="B144" s="2" t="n"/>
      <c r="E144" s="4" t="n"/>
    </row>
    <row r="145" ht="15.75" customHeight="1">
      <c r="B145" s="2" t="n"/>
      <c r="E145" s="4" t="n"/>
    </row>
    <row r="146" ht="15.75" customHeight="1">
      <c r="B146" s="2" t="n"/>
      <c r="E146" s="4" t="n"/>
    </row>
    <row r="147" ht="15.75" customHeight="1">
      <c r="B147" s="2" t="n"/>
      <c r="E147" s="4" t="n"/>
    </row>
    <row r="148" ht="15.75" customHeight="1">
      <c r="B148" s="2" t="n"/>
      <c r="E148" s="4" t="n"/>
    </row>
    <row r="149" ht="15.75" customHeight="1">
      <c r="B149" s="2" t="n"/>
      <c r="E149" s="4" t="n"/>
    </row>
    <row r="150" ht="15.75" customHeight="1">
      <c r="B150" s="2" t="n"/>
      <c r="E150" s="4" t="n"/>
    </row>
    <row r="151" ht="15.75" customHeight="1">
      <c r="B151" s="2" t="n"/>
      <c r="E151" s="4" t="n"/>
    </row>
    <row r="152" ht="15.75" customHeight="1">
      <c r="B152" s="2" t="n"/>
      <c r="E152" s="4" t="n"/>
    </row>
    <row r="153" ht="15.75" customHeight="1">
      <c r="B153" s="2" t="n"/>
      <c r="E153" s="4" t="n"/>
    </row>
    <row r="154" ht="15.75" customHeight="1">
      <c r="B154" s="2" t="n"/>
      <c r="E154" s="4" t="n"/>
    </row>
    <row r="155" ht="15.75" customHeight="1">
      <c r="B155" s="2" t="n"/>
      <c r="E155" s="4" t="n"/>
    </row>
    <row r="156" ht="15.75" customHeight="1">
      <c r="B156" s="2" t="n"/>
      <c r="E156" s="4" t="n"/>
    </row>
    <row r="157" ht="15.75" customHeight="1">
      <c r="B157" s="2" t="n"/>
      <c r="E157" s="4" t="n"/>
    </row>
    <row r="158" ht="15.75" customHeight="1">
      <c r="B158" s="2" t="n"/>
      <c r="E158" s="4" t="n"/>
    </row>
    <row r="159" ht="15.75" customHeight="1">
      <c r="B159" s="2" t="n"/>
      <c r="E159" s="4" t="n"/>
    </row>
    <row r="160" ht="15.75" customHeight="1">
      <c r="B160" s="2" t="n"/>
      <c r="E160" s="4" t="n"/>
    </row>
    <row r="161" ht="15.75" customHeight="1">
      <c r="B161" s="2" t="n"/>
      <c r="E161" s="4" t="n"/>
    </row>
    <row r="162" ht="15.75" customHeight="1">
      <c r="B162" s="2" t="n"/>
      <c r="E162" s="4" t="n"/>
    </row>
    <row r="163" ht="15.75" customHeight="1">
      <c r="B163" s="2" t="n"/>
      <c r="E163" s="4" t="n"/>
    </row>
    <row r="164" ht="15.75" customHeight="1">
      <c r="B164" s="2" t="n"/>
      <c r="E164" s="4" t="n"/>
    </row>
    <row r="165" ht="15.75" customHeight="1">
      <c r="B165" s="2" t="n"/>
      <c r="E165" s="4" t="n"/>
    </row>
    <row r="166" ht="15.75" customHeight="1">
      <c r="B166" s="2" t="n"/>
      <c r="E166" s="4" t="n"/>
    </row>
    <row r="167" ht="15.75" customHeight="1">
      <c r="B167" s="2" t="n"/>
      <c r="E167" s="4" t="n"/>
    </row>
    <row r="168" ht="15.75" customHeight="1">
      <c r="B168" s="2" t="n"/>
      <c r="E168" s="4" t="n"/>
    </row>
    <row r="169" ht="15.75" customHeight="1">
      <c r="B169" s="2" t="n"/>
      <c r="E169" s="4" t="n"/>
    </row>
    <row r="170" ht="15.75" customHeight="1">
      <c r="B170" s="2" t="n"/>
      <c r="E170" s="4" t="n"/>
    </row>
    <row r="171" ht="15.75" customHeight="1">
      <c r="B171" s="2" t="n"/>
      <c r="E171" s="4" t="n"/>
    </row>
    <row r="172" ht="15.75" customHeight="1">
      <c r="B172" s="2" t="n"/>
      <c r="E172" s="4" t="n"/>
    </row>
    <row r="173" ht="15.75" customHeight="1">
      <c r="B173" s="2" t="n"/>
      <c r="E173" s="4" t="n"/>
    </row>
    <row r="174" ht="15.75" customHeight="1">
      <c r="B174" s="2" t="n"/>
      <c r="E174" s="4" t="n"/>
    </row>
    <row r="175" ht="15.75" customHeight="1">
      <c r="B175" s="2" t="n"/>
      <c r="E175" s="4" t="n"/>
    </row>
    <row r="176" ht="15.75" customHeight="1">
      <c r="B176" s="2" t="n"/>
      <c r="E176" s="4" t="n"/>
    </row>
    <row r="177" ht="15.75" customHeight="1">
      <c r="B177" s="2" t="n"/>
      <c r="E177" s="4" t="n"/>
    </row>
    <row r="178" ht="15.75" customHeight="1">
      <c r="B178" s="2" t="n"/>
      <c r="E178" s="4" t="n"/>
    </row>
    <row r="179" ht="15.75" customHeight="1">
      <c r="B179" s="2" t="n"/>
      <c r="E179" s="4" t="n"/>
    </row>
    <row r="180" ht="15.75" customHeight="1">
      <c r="B180" s="2" t="n"/>
      <c r="E180" s="4" t="n"/>
    </row>
    <row r="181" ht="15.75" customHeight="1">
      <c r="B181" s="2" t="n"/>
      <c r="E181" s="4" t="n"/>
    </row>
    <row r="182" ht="15.75" customHeight="1">
      <c r="B182" s="2" t="n"/>
      <c r="E182" s="4" t="n"/>
    </row>
    <row r="183" ht="15.75" customHeight="1">
      <c r="B183" s="2" t="n"/>
      <c r="E183" s="4" t="n"/>
    </row>
    <row r="184" ht="15.75" customHeight="1">
      <c r="B184" s="2" t="n"/>
      <c r="E184" s="4" t="n"/>
    </row>
    <row r="185" ht="15.75" customHeight="1">
      <c r="B185" s="2" t="n"/>
      <c r="E185" s="4" t="n"/>
    </row>
    <row r="186" ht="15.75" customHeight="1">
      <c r="B186" s="2" t="n"/>
      <c r="E186" s="4" t="n"/>
    </row>
    <row r="187" ht="15.75" customHeight="1">
      <c r="B187" s="2" t="n"/>
      <c r="E187" s="4" t="n"/>
    </row>
    <row r="188" ht="15.75" customHeight="1">
      <c r="B188" s="2" t="n"/>
      <c r="E188" s="4" t="n"/>
    </row>
    <row r="189" ht="15.75" customHeight="1">
      <c r="B189" s="2" t="n"/>
      <c r="E189" s="4" t="n"/>
    </row>
    <row r="190" ht="15.75" customHeight="1">
      <c r="B190" s="2" t="n"/>
      <c r="E190" s="4" t="n"/>
    </row>
    <row r="191" ht="15.75" customHeight="1">
      <c r="B191" s="2" t="n"/>
      <c r="E191" s="4" t="n"/>
    </row>
    <row r="192" ht="15.75" customHeight="1">
      <c r="B192" s="2" t="n"/>
      <c r="E192" s="4" t="n"/>
    </row>
    <row r="193" ht="15.75" customHeight="1">
      <c r="B193" s="2" t="n"/>
      <c r="E193" s="4" t="n"/>
    </row>
    <row r="194" ht="15.75" customHeight="1">
      <c r="B194" s="2" t="n"/>
      <c r="E194" s="4" t="n"/>
    </row>
    <row r="195" ht="15.75" customHeight="1">
      <c r="B195" s="2" t="n"/>
      <c r="E195" s="4" t="n"/>
    </row>
    <row r="196" ht="15.75" customHeight="1">
      <c r="B196" s="2" t="n"/>
      <c r="E196" s="4" t="n"/>
    </row>
    <row r="197" ht="15.75" customHeight="1">
      <c r="B197" s="2" t="n"/>
      <c r="E197" s="4" t="n"/>
    </row>
    <row r="198" ht="15.75" customHeight="1">
      <c r="B198" s="2" t="n"/>
      <c r="E198" s="4" t="n"/>
    </row>
    <row r="199" ht="15.75" customHeight="1">
      <c r="B199" s="2" t="n"/>
      <c r="E199" s="4" t="n"/>
    </row>
    <row r="200" ht="15.75" customHeight="1">
      <c r="B200" s="2" t="n"/>
      <c r="E200" s="4" t="n"/>
    </row>
    <row r="201" ht="15.75" customHeight="1">
      <c r="B201" s="2" t="n"/>
      <c r="E201" s="4" t="n"/>
    </row>
    <row r="202" ht="15.75" customHeight="1">
      <c r="B202" s="2" t="n"/>
      <c r="E202" s="4" t="n"/>
    </row>
    <row r="203" ht="15.75" customHeight="1">
      <c r="B203" s="2" t="n"/>
      <c r="E203" s="4" t="n"/>
    </row>
    <row r="204" ht="15.75" customHeight="1">
      <c r="B204" s="2" t="n"/>
      <c r="E204" s="4" t="n"/>
    </row>
    <row r="205" ht="15.75" customHeight="1">
      <c r="B205" s="2" t="n"/>
      <c r="E205" s="4" t="n"/>
    </row>
    <row r="206" ht="15.75" customHeight="1">
      <c r="B206" s="2" t="n"/>
      <c r="E206" s="4" t="n"/>
    </row>
    <row r="207" ht="15.75" customHeight="1">
      <c r="B207" s="2" t="n"/>
      <c r="E207" s="4" t="n"/>
    </row>
    <row r="208" ht="15.75" customHeight="1">
      <c r="B208" s="2" t="n"/>
      <c r="E208" s="4" t="n"/>
    </row>
    <row r="209" ht="15.75" customHeight="1">
      <c r="B209" s="2" t="n"/>
      <c r="E209" s="4" t="n"/>
    </row>
    <row r="210" ht="15.75" customHeight="1">
      <c r="B210" s="2" t="n"/>
      <c r="E210" s="4" t="n"/>
    </row>
    <row r="211" ht="15.75" customHeight="1">
      <c r="B211" s="2" t="n"/>
      <c r="E211" s="4" t="n"/>
    </row>
    <row r="212" ht="15.75" customHeight="1">
      <c r="B212" s="2" t="n"/>
      <c r="E212" s="4" t="n"/>
    </row>
    <row r="213" ht="15.75" customHeight="1">
      <c r="B213" s="2" t="n"/>
      <c r="E213" s="4" t="n"/>
    </row>
    <row r="214" ht="15.75" customHeight="1">
      <c r="B214" s="2" t="n"/>
      <c r="E214" s="4" t="n"/>
    </row>
    <row r="215" ht="15.75" customHeight="1">
      <c r="B215" s="2" t="n"/>
      <c r="E215" s="4" t="n"/>
    </row>
    <row r="216" ht="15.75" customHeight="1">
      <c r="B216" s="2" t="n"/>
      <c r="E216" s="4" t="n"/>
    </row>
    <row r="217" ht="15.75" customHeight="1">
      <c r="B217" s="2" t="n"/>
      <c r="E217" s="4" t="n"/>
    </row>
    <row r="218" ht="15.75" customHeight="1">
      <c r="B218" s="2" t="n"/>
      <c r="E218" s="4" t="n"/>
    </row>
    <row r="219" ht="15.75" customHeight="1">
      <c r="B219" s="2" t="n"/>
      <c r="E219" s="4" t="n"/>
    </row>
    <row r="220" ht="15.75" customHeight="1">
      <c r="B220" s="2" t="n"/>
      <c r="E220" s="4" t="n"/>
    </row>
    <row r="221" ht="15.75" customHeight="1">
      <c r="B221" s="2" t="n"/>
      <c r="E221" s="4" t="n"/>
    </row>
    <row r="222" ht="15.75" customHeight="1">
      <c r="B222" s="2" t="n"/>
      <c r="E222" s="4" t="n"/>
    </row>
    <row r="223" ht="15.75" customHeight="1">
      <c r="B223" s="2" t="n"/>
      <c r="E223" s="4" t="n"/>
    </row>
    <row r="224" ht="15.75" customHeight="1">
      <c r="B224" s="2" t="n"/>
      <c r="E224" s="4" t="n"/>
    </row>
    <row r="225" ht="15.75" customHeight="1">
      <c r="B225" s="2" t="n"/>
      <c r="E225" s="4" t="n"/>
    </row>
    <row r="226" ht="15.75" customHeight="1">
      <c r="B226" s="2" t="n"/>
      <c r="E226" s="4" t="n"/>
    </row>
    <row r="227" ht="15.75" customHeight="1">
      <c r="B227" s="2" t="n"/>
      <c r="E227" s="4" t="n"/>
    </row>
    <row r="228" ht="15.75" customHeight="1">
      <c r="B228" s="2" t="n"/>
      <c r="E228" s="4" t="n"/>
    </row>
    <row r="229" ht="15.75" customHeight="1">
      <c r="B229" s="2" t="n"/>
      <c r="E229" s="4" t="n"/>
    </row>
    <row r="230" ht="15.75" customHeight="1">
      <c r="B230" s="2" t="n"/>
      <c r="E230" s="4" t="n"/>
    </row>
    <row r="231" ht="15.75" customHeight="1">
      <c r="B231" s="2" t="n"/>
      <c r="E231" s="4" t="n"/>
    </row>
    <row r="232" ht="15.75" customHeight="1">
      <c r="B232" s="2" t="n"/>
      <c r="E232" s="4" t="n"/>
    </row>
    <row r="233" ht="15.75" customHeight="1">
      <c r="B233" s="2" t="n"/>
      <c r="E233" s="4" t="n"/>
    </row>
    <row r="234" ht="15.75" customHeight="1">
      <c r="B234" s="2" t="n"/>
      <c r="E234" s="4" t="n"/>
    </row>
    <row r="235" ht="15.75" customHeight="1">
      <c r="B235" s="2" t="n"/>
      <c r="E235" s="4" t="n"/>
    </row>
    <row r="236" ht="15.75" customHeight="1">
      <c r="B236" s="2" t="n"/>
      <c r="E236" s="4" t="n"/>
    </row>
    <row r="237" ht="15.75" customHeight="1">
      <c r="B237" s="2" t="n"/>
      <c r="E237" s="4" t="n"/>
    </row>
    <row r="238" ht="15.75" customHeight="1">
      <c r="B238" s="2" t="n"/>
      <c r="E238" s="4" t="n"/>
    </row>
    <row r="239" ht="15.75" customHeight="1">
      <c r="B239" s="2" t="n"/>
      <c r="E239" s="4" t="n"/>
    </row>
    <row r="240" ht="15.75" customHeight="1">
      <c r="B240" s="2" t="n"/>
      <c r="E240" s="4" t="n"/>
    </row>
    <row r="241" ht="15.75" customHeight="1">
      <c r="B241" s="2" t="n"/>
      <c r="E241" s="4" t="n"/>
    </row>
    <row r="242" ht="15.75" customHeight="1">
      <c r="B242" s="2" t="n"/>
      <c r="E242" s="4" t="n"/>
    </row>
    <row r="243" ht="15.75" customHeight="1">
      <c r="B243" s="2" t="n"/>
      <c r="E243" s="4" t="n"/>
    </row>
    <row r="244" ht="15.75" customHeight="1">
      <c r="B244" s="2" t="n"/>
      <c r="E244" s="4" t="n"/>
    </row>
    <row r="245" ht="15.75" customHeight="1">
      <c r="B245" s="2" t="n"/>
      <c r="E245" s="4" t="n"/>
    </row>
    <row r="246" ht="15.75" customHeight="1">
      <c r="B246" s="2" t="n"/>
      <c r="E246" s="4" t="n"/>
    </row>
    <row r="247" ht="15.75" customHeight="1">
      <c r="B247" s="2" t="n"/>
      <c r="E247" s="4" t="n"/>
    </row>
    <row r="248" ht="15.75" customHeight="1">
      <c r="B248" s="2" t="n"/>
      <c r="E248" s="4" t="n"/>
    </row>
    <row r="249" ht="15.75" customHeight="1">
      <c r="B249" s="2" t="n"/>
      <c r="E249" s="4" t="n"/>
    </row>
    <row r="250" ht="15.75" customHeight="1">
      <c r="B250" s="2" t="n"/>
      <c r="E250" s="4" t="n"/>
    </row>
    <row r="251" ht="15.75" customHeight="1">
      <c r="B251" s="2" t="n"/>
      <c r="E251" s="4" t="n"/>
    </row>
    <row r="252" ht="15.75" customHeight="1">
      <c r="B252" s="2" t="n"/>
      <c r="E252" s="4" t="n"/>
    </row>
    <row r="253" ht="15.75" customHeight="1">
      <c r="B253" s="2" t="n"/>
      <c r="E253" s="4" t="n"/>
    </row>
    <row r="254" ht="15.75" customHeight="1">
      <c r="B254" s="2" t="n"/>
      <c r="E254" s="4" t="n"/>
    </row>
    <row r="255" ht="15.75" customHeight="1">
      <c r="B255" s="2" t="n"/>
      <c r="E255" s="4" t="n"/>
    </row>
    <row r="256" ht="15.75" customHeight="1">
      <c r="B256" s="2" t="n"/>
      <c r="E256" s="4" t="n"/>
    </row>
    <row r="257" ht="15.75" customHeight="1">
      <c r="B257" s="2" t="n"/>
      <c r="E257" s="4" t="n"/>
    </row>
    <row r="258" ht="15.75" customHeight="1">
      <c r="B258" s="2" t="n"/>
      <c r="E258" s="4" t="n"/>
    </row>
    <row r="259" ht="15.75" customHeight="1">
      <c r="B259" s="2" t="n"/>
      <c r="E259" s="4" t="n"/>
    </row>
    <row r="260" ht="15.75" customHeight="1">
      <c r="B260" s="2" t="n"/>
      <c r="E260" s="4" t="n"/>
    </row>
    <row r="261" ht="15.75" customHeight="1">
      <c r="B261" s="2" t="n"/>
      <c r="E261" s="4" t="n"/>
    </row>
    <row r="262" ht="15.75" customHeight="1">
      <c r="B262" s="2" t="n"/>
      <c r="E262" s="4" t="n"/>
    </row>
    <row r="263" ht="15.75" customHeight="1">
      <c r="B263" s="2" t="n"/>
      <c r="E263" s="4" t="n"/>
    </row>
    <row r="264" ht="15.75" customHeight="1">
      <c r="B264" s="2" t="n"/>
      <c r="E264" s="4" t="n"/>
    </row>
    <row r="265" ht="15.75" customHeight="1">
      <c r="B265" s="2" t="n"/>
      <c r="E265" s="4" t="n"/>
    </row>
    <row r="266" ht="15.75" customHeight="1">
      <c r="B266" s="2" t="n"/>
      <c r="E266" s="4" t="n"/>
    </row>
    <row r="267" ht="15.75" customHeight="1">
      <c r="B267" s="2" t="n"/>
      <c r="E267" s="4" t="n"/>
    </row>
    <row r="268" ht="15.75" customHeight="1">
      <c r="B268" s="2" t="n"/>
      <c r="E268" s="4" t="n"/>
    </row>
    <row r="269" ht="15.75" customHeight="1">
      <c r="B269" s="2" t="n"/>
      <c r="E269" s="4" t="n"/>
    </row>
    <row r="270" ht="15.75" customHeight="1">
      <c r="B270" s="2" t="n"/>
      <c r="E270" s="4" t="n"/>
    </row>
    <row r="271" ht="15.75" customHeight="1">
      <c r="B271" s="2" t="n"/>
      <c r="E271" s="4" t="n"/>
    </row>
    <row r="272" ht="15.75" customHeight="1">
      <c r="B272" s="2" t="n"/>
      <c r="E272" s="4" t="n"/>
    </row>
    <row r="273" ht="15.75" customHeight="1">
      <c r="B273" s="2" t="n"/>
      <c r="E273" s="4" t="n"/>
    </row>
    <row r="274" ht="15.75" customHeight="1">
      <c r="B274" s="2" t="n"/>
      <c r="E274" s="4" t="n"/>
    </row>
    <row r="275" ht="15.75" customHeight="1">
      <c r="B275" s="2" t="n"/>
      <c r="E275" s="4" t="n"/>
    </row>
    <row r="276" ht="15.75" customHeight="1">
      <c r="B276" s="2" t="n"/>
      <c r="E276" s="4" t="n"/>
    </row>
    <row r="277" ht="15.75" customHeight="1">
      <c r="B277" s="2" t="n"/>
      <c r="E277" s="4" t="n"/>
    </row>
    <row r="278" ht="15.75" customHeight="1">
      <c r="B278" s="2" t="n"/>
      <c r="E278" s="4" t="n"/>
    </row>
    <row r="279" ht="15.75" customHeight="1">
      <c r="B279" s="2" t="n"/>
      <c r="E279" s="4" t="n"/>
    </row>
    <row r="280" ht="15.75" customHeight="1">
      <c r="B280" s="2" t="n"/>
      <c r="E280" s="4" t="n"/>
    </row>
    <row r="281" ht="15.75" customHeight="1">
      <c r="B281" s="2" t="n"/>
      <c r="E281" s="4" t="n"/>
    </row>
    <row r="282" ht="15.75" customHeight="1">
      <c r="B282" s="2" t="n"/>
      <c r="E282" s="4" t="n"/>
    </row>
    <row r="283" ht="15.75" customHeight="1">
      <c r="B283" s="2" t="n"/>
      <c r="E283" s="4" t="n"/>
    </row>
    <row r="284" ht="15.75" customHeight="1">
      <c r="B284" s="2" t="n"/>
      <c r="E284" s="4" t="n"/>
    </row>
    <row r="285" ht="15.75" customHeight="1">
      <c r="B285" s="2" t="n"/>
      <c r="E285" s="4" t="n"/>
    </row>
    <row r="286" ht="15.75" customHeight="1">
      <c r="B286" s="2" t="n"/>
      <c r="E286" s="4" t="n"/>
    </row>
    <row r="287" ht="15.75" customHeight="1">
      <c r="B287" s="2" t="n"/>
      <c r="E287" s="4" t="n"/>
    </row>
    <row r="288" ht="15.75" customHeight="1">
      <c r="B288" s="2" t="n"/>
      <c r="E288" s="4" t="n"/>
    </row>
    <row r="289" ht="15.75" customHeight="1">
      <c r="B289" s="2" t="n"/>
      <c r="E289" s="4" t="n"/>
    </row>
    <row r="290" ht="15.75" customHeight="1">
      <c r="B290" s="2" t="n"/>
      <c r="E290" s="4" t="n"/>
    </row>
    <row r="291" ht="15.75" customHeight="1">
      <c r="B291" s="2" t="n"/>
      <c r="E291" s="4" t="n"/>
    </row>
    <row r="292" ht="15.75" customHeight="1">
      <c r="B292" s="2" t="n"/>
      <c r="E292" s="4" t="n"/>
    </row>
    <row r="293" ht="15.75" customHeight="1">
      <c r="B293" s="2" t="n"/>
      <c r="E293" s="4" t="n"/>
    </row>
    <row r="294" ht="15.75" customHeight="1">
      <c r="B294" s="2" t="n"/>
      <c r="E294" s="4" t="n"/>
    </row>
    <row r="295" ht="15.75" customHeight="1">
      <c r="B295" s="2" t="n"/>
      <c r="E295" s="4" t="n"/>
    </row>
    <row r="296" ht="15.75" customHeight="1">
      <c r="B296" s="2" t="n"/>
      <c r="E296" s="4" t="n"/>
    </row>
    <row r="297" ht="15.75" customHeight="1">
      <c r="B297" s="2" t="n"/>
      <c r="E297" s="4" t="n"/>
    </row>
    <row r="298" ht="15.75" customHeight="1">
      <c r="B298" s="2" t="n"/>
      <c r="E298" s="4" t="n"/>
    </row>
    <row r="299" ht="15.75" customHeight="1">
      <c r="B299" s="2" t="n"/>
      <c r="E299" s="4" t="n"/>
    </row>
    <row r="300" ht="15.75" customHeight="1">
      <c r="B300" s="2" t="n"/>
      <c r="E300" s="4" t="n"/>
    </row>
    <row r="301" ht="15.75" customHeight="1">
      <c r="B301" s="2" t="n"/>
      <c r="E301" s="4" t="n"/>
    </row>
    <row r="302" ht="15.75" customHeight="1">
      <c r="B302" s="2" t="n"/>
      <c r="E302" s="4" t="n"/>
    </row>
    <row r="303" ht="15.75" customHeight="1">
      <c r="B303" s="2" t="n"/>
      <c r="E303" s="4" t="n"/>
    </row>
    <row r="304" ht="15.75" customHeight="1">
      <c r="B304" s="2" t="n"/>
      <c r="E304" s="4" t="n"/>
    </row>
    <row r="305" ht="15.75" customHeight="1">
      <c r="B305" s="2" t="n"/>
      <c r="E305" s="4" t="n"/>
    </row>
    <row r="306" ht="15.75" customHeight="1">
      <c r="B306" s="2" t="n"/>
      <c r="E306" s="4" t="n"/>
    </row>
    <row r="307" ht="15.75" customHeight="1">
      <c r="B307" s="2" t="n"/>
      <c r="E307" s="4" t="n"/>
    </row>
    <row r="308" ht="15.75" customHeight="1">
      <c r="B308" s="2" t="n"/>
      <c r="E308" s="4" t="n"/>
    </row>
    <row r="309" ht="15.75" customHeight="1">
      <c r="B309" s="2" t="n"/>
      <c r="E309" s="4" t="n"/>
    </row>
    <row r="310" ht="15.75" customHeight="1">
      <c r="B310" s="2" t="n"/>
      <c r="E310" s="4" t="n"/>
    </row>
    <row r="311" ht="15.75" customHeight="1">
      <c r="B311" s="2" t="n"/>
      <c r="E311" s="4" t="n"/>
    </row>
    <row r="312" ht="15.75" customHeight="1">
      <c r="B312" s="2" t="n"/>
      <c r="E312" s="4" t="n"/>
    </row>
    <row r="313" ht="15.75" customHeight="1">
      <c r="B313" s="2" t="n"/>
      <c r="E313" s="4" t="n"/>
    </row>
    <row r="314" ht="15.75" customHeight="1">
      <c r="B314" s="2" t="n"/>
      <c r="E314" s="4" t="n"/>
    </row>
    <row r="315" ht="15.75" customHeight="1">
      <c r="B315" s="2" t="n"/>
      <c r="E315" s="4" t="n"/>
    </row>
    <row r="316" ht="15.75" customHeight="1">
      <c r="B316" s="2" t="n"/>
      <c r="E316" s="4" t="n"/>
    </row>
    <row r="317" ht="15.75" customHeight="1">
      <c r="B317" s="2" t="n"/>
      <c r="E317" s="4" t="n"/>
    </row>
    <row r="318" ht="15.75" customHeight="1">
      <c r="B318" s="2" t="n"/>
      <c r="E318" s="4" t="n"/>
    </row>
    <row r="319" ht="15.75" customHeight="1">
      <c r="B319" s="2" t="n"/>
      <c r="E319" s="4" t="n"/>
    </row>
    <row r="320" ht="15.75" customHeight="1">
      <c r="B320" s="2" t="n"/>
      <c r="E320" s="4" t="n"/>
    </row>
    <row r="321" ht="15.75" customHeight="1">
      <c r="B321" s="2" t="n"/>
      <c r="E321" s="4" t="n"/>
    </row>
    <row r="322" ht="15.75" customHeight="1">
      <c r="B322" s="2" t="n"/>
      <c r="E322" s="4" t="n"/>
    </row>
    <row r="323" ht="15.75" customHeight="1">
      <c r="B323" s="2" t="n"/>
      <c r="E323" s="4" t="n"/>
    </row>
    <row r="324" ht="15.75" customHeight="1">
      <c r="B324" s="2" t="n"/>
      <c r="E324" s="4" t="n"/>
    </row>
    <row r="325" ht="15.75" customHeight="1">
      <c r="B325" s="2" t="n"/>
      <c r="E325" s="4" t="n"/>
    </row>
    <row r="326" ht="15.75" customHeight="1">
      <c r="B326" s="2" t="n"/>
      <c r="E326" s="4" t="n"/>
    </row>
    <row r="327" ht="15.75" customHeight="1">
      <c r="B327" s="2" t="n"/>
      <c r="E327" s="4" t="n"/>
    </row>
    <row r="328" ht="15.75" customHeight="1">
      <c r="B328" s="2" t="n"/>
      <c r="E328" s="4" t="n"/>
    </row>
    <row r="329" ht="15.75" customHeight="1">
      <c r="B329" s="2" t="n"/>
      <c r="E329" s="4" t="n"/>
    </row>
    <row r="330" ht="15.75" customHeight="1">
      <c r="B330" s="2" t="n"/>
      <c r="E330" s="4" t="n"/>
    </row>
    <row r="331" ht="15.75" customHeight="1">
      <c r="B331" s="2" t="n"/>
      <c r="E331" s="4" t="n"/>
    </row>
    <row r="332" ht="15.75" customHeight="1">
      <c r="B332" s="2" t="n"/>
      <c r="E332" s="4" t="n"/>
    </row>
    <row r="333" ht="15.75" customHeight="1">
      <c r="B333" s="2" t="n"/>
      <c r="E333" s="4" t="n"/>
    </row>
    <row r="334" ht="15.75" customHeight="1">
      <c r="B334" s="2" t="n"/>
      <c r="E334" s="4" t="n"/>
    </row>
    <row r="335" ht="15.75" customHeight="1">
      <c r="B335" s="2" t="n"/>
      <c r="E335" s="4" t="n"/>
    </row>
    <row r="336" ht="15.75" customHeight="1">
      <c r="B336" s="2" t="n"/>
      <c r="E336" s="4" t="n"/>
    </row>
    <row r="337" ht="15.75" customHeight="1">
      <c r="B337" s="2" t="n"/>
      <c r="E337" s="4" t="n"/>
    </row>
    <row r="338" ht="15.75" customHeight="1">
      <c r="B338" s="2" t="n"/>
      <c r="E338" s="4" t="n"/>
    </row>
    <row r="339" ht="15.75" customHeight="1">
      <c r="B339" s="2" t="n"/>
      <c r="E339" s="4" t="n"/>
    </row>
    <row r="340" ht="15.75" customHeight="1">
      <c r="B340" s="2" t="n"/>
      <c r="E340" s="4" t="n"/>
    </row>
    <row r="341" ht="15.75" customHeight="1">
      <c r="B341" s="2" t="n"/>
      <c r="E341" s="4" t="n"/>
    </row>
    <row r="342" ht="15.75" customHeight="1">
      <c r="B342" s="2" t="n"/>
      <c r="E342" s="4" t="n"/>
    </row>
    <row r="343" ht="15.75" customHeight="1">
      <c r="B343" s="2" t="n"/>
      <c r="E343" s="4" t="n"/>
    </row>
    <row r="344" ht="15.75" customHeight="1">
      <c r="B344" s="2" t="n"/>
      <c r="E344" s="4" t="n"/>
    </row>
    <row r="345" ht="15.75" customHeight="1">
      <c r="B345" s="2" t="n"/>
      <c r="E345" s="4" t="n"/>
    </row>
    <row r="346" ht="15.75" customHeight="1">
      <c r="B346" s="2" t="n"/>
      <c r="E346" s="4" t="n"/>
    </row>
    <row r="347" ht="15.75" customHeight="1">
      <c r="B347" s="2" t="n"/>
      <c r="E347" s="4" t="n"/>
    </row>
    <row r="348" ht="15.75" customHeight="1">
      <c r="B348" s="2" t="n"/>
      <c r="E348" s="4" t="n"/>
    </row>
    <row r="349" ht="15.75" customHeight="1">
      <c r="B349" s="2" t="n"/>
      <c r="E349" s="4" t="n"/>
    </row>
    <row r="350" ht="15.75" customHeight="1">
      <c r="B350" s="2" t="n"/>
      <c r="E350" s="4" t="n"/>
    </row>
    <row r="351" ht="15.75" customHeight="1">
      <c r="B351" s="2" t="n"/>
      <c r="E351" s="4" t="n"/>
    </row>
    <row r="352" ht="15.75" customHeight="1">
      <c r="B352" s="2" t="n"/>
      <c r="E352" s="4" t="n"/>
    </row>
    <row r="353" ht="15.75" customHeight="1">
      <c r="B353" s="2" t="n"/>
      <c r="E353" s="4" t="n"/>
    </row>
    <row r="354" ht="15.75" customHeight="1">
      <c r="B354" s="2" t="n"/>
      <c r="E354" s="4" t="n"/>
    </row>
    <row r="355" ht="15.75" customHeight="1">
      <c r="B355" s="2" t="n"/>
      <c r="E355" s="4" t="n"/>
    </row>
    <row r="356" ht="15.75" customHeight="1">
      <c r="B356" s="2" t="n"/>
      <c r="E356" s="4" t="n"/>
    </row>
    <row r="357" ht="15.75" customHeight="1">
      <c r="B357" s="2" t="n"/>
      <c r="E357" s="4" t="n"/>
    </row>
    <row r="358" ht="15.75" customHeight="1">
      <c r="B358" s="2" t="n"/>
      <c r="E358" s="4" t="n"/>
    </row>
    <row r="359" ht="15.75" customHeight="1">
      <c r="B359" s="2" t="n"/>
      <c r="E359" s="4" t="n"/>
    </row>
    <row r="360" ht="15.75" customHeight="1">
      <c r="B360" s="2" t="n"/>
      <c r="E360" s="4" t="n"/>
    </row>
    <row r="361" ht="15.75" customHeight="1">
      <c r="B361" s="2" t="n"/>
      <c r="E361" s="4" t="n"/>
    </row>
    <row r="362" ht="15.75" customHeight="1">
      <c r="B362" s="2" t="n"/>
      <c r="E362" s="4" t="n"/>
    </row>
    <row r="363" ht="15.75" customHeight="1">
      <c r="B363" s="2" t="n"/>
      <c r="E363" s="4" t="n"/>
    </row>
    <row r="364" ht="15.75" customHeight="1">
      <c r="B364" s="2" t="n"/>
      <c r="E364" s="4" t="n"/>
    </row>
    <row r="365" ht="15.75" customHeight="1">
      <c r="B365" s="2" t="n"/>
      <c r="E365" s="4" t="n"/>
    </row>
    <row r="366" ht="15.75" customHeight="1">
      <c r="B366" s="2" t="n"/>
      <c r="E366" s="4" t="n"/>
    </row>
    <row r="367" ht="15.75" customHeight="1">
      <c r="B367" s="2" t="n"/>
      <c r="E367" s="4" t="n"/>
    </row>
    <row r="368" ht="15.75" customHeight="1">
      <c r="B368" s="2" t="n"/>
      <c r="E368" s="4" t="n"/>
    </row>
    <row r="369" ht="15.75" customHeight="1">
      <c r="B369" s="2" t="n"/>
      <c r="E369" s="4" t="n"/>
    </row>
    <row r="370" ht="15.75" customHeight="1">
      <c r="B370" s="2" t="n"/>
      <c r="E370" s="4" t="n"/>
    </row>
    <row r="371" ht="15.75" customHeight="1">
      <c r="B371" s="2" t="n"/>
      <c r="E371" s="4" t="n"/>
    </row>
    <row r="372" ht="15.75" customHeight="1">
      <c r="B372" s="2" t="n"/>
      <c r="E372" s="4" t="n"/>
    </row>
    <row r="373" ht="15.75" customHeight="1">
      <c r="B373" s="2" t="n"/>
      <c r="E373" s="4" t="n"/>
    </row>
    <row r="374" ht="15.75" customHeight="1">
      <c r="B374" s="2" t="n"/>
      <c r="E374" s="4" t="n"/>
    </row>
    <row r="375" ht="15.75" customHeight="1">
      <c r="B375" s="2" t="n"/>
      <c r="E375" s="4" t="n"/>
    </row>
    <row r="376" ht="15.75" customHeight="1">
      <c r="B376" s="2" t="n"/>
      <c r="E376" s="4" t="n"/>
    </row>
    <row r="377" ht="15.75" customHeight="1">
      <c r="B377" s="2" t="n"/>
      <c r="E377" s="4" t="n"/>
    </row>
    <row r="378" ht="15.75" customHeight="1">
      <c r="B378" s="2" t="n"/>
      <c r="E378" s="4" t="n"/>
    </row>
    <row r="379" ht="15.75" customHeight="1">
      <c r="B379" s="2" t="n"/>
      <c r="E379" s="4" t="n"/>
    </row>
    <row r="380" ht="15.75" customHeight="1">
      <c r="B380" s="2" t="n"/>
      <c r="E380" s="4" t="n"/>
    </row>
    <row r="381" ht="15.75" customHeight="1">
      <c r="B381" s="2" t="n"/>
      <c r="E381" s="4" t="n"/>
    </row>
    <row r="382" ht="15.75" customHeight="1">
      <c r="B382" s="2" t="n"/>
      <c r="E382" s="4" t="n"/>
    </row>
    <row r="383" ht="15.75" customHeight="1">
      <c r="B383" s="2" t="n"/>
      <c r="E383" s="4" t="n"/>
    </row>
    <row r="384" ht="15.75" customHeight="1">
      <c r="B384" s="2" t="n"/>
      <c r="E384" s="4" t="n"/>
    </row>
    <row r="385" ht="15.75" customHeight="1">
      <c r="B385" s="2" t="n"/>
      <c r="E385" s="4" t="n"/>
    </row>
    <row r="386" ht="15.75" customHeight="1">
      <c r="B386" s="2" t="n"/>
      <c r="E386" s="4" t="n"/>
    </row>
    <row r="387" ht="15.75" customHeight="1">
      <c r="B387" s="2" t="n"/>
      <c r="E387" s="4" t="n"/>
    </row>
    <row r="388" ht="15.75" customHeight="1">
      <c r="B388" s="2" t="n"/>
      <c r="E388" s="4" t="n"/>
    </row>
    <row r="389" ht="15.75" customHeight="1">
      <c r="B389" s="2" t="n"/>
      <c r="E389" s="4" t="n"/>
    </row>
    <row r="390" ht="15.75" customHeight="1">
      <c r="B390" s="2" t="n"/>
      <c r="E390" s="4" t="n"/>
    </row>
    <row r="391" ht="15.75" customHeight="1">
      <c r="B391" s="2" t="n"/>
      <c r="E391" s="4" t="n"/>
    </row>
    <row r="392" ht="15.75" customHeight="1">
      <c r="B392" s="2" t="n"/>
      <c r="E392" s="4" t="n"/>
    </row>
    <row r="393" ht="15.75" customHeight="1">
      <c r="B393" s="2" t="n"/>
      <c r="E393" s="4" t="n"/>
    </row>
    <row r="394" ht="15.75" customHeight="1">
      <c r="B394" s="2" t="n"/>
      <c r="E394" s="4" t="n"/>
    </row>
    <row r="395" ht="15.75" customHeight="1">
      <c r="B395" s="2" t="n"/>
      <c r="E395" s="4" t="n"/>
    </row>
    <row r="396" ht="15.75" customHeight="1">
      <c r="B396" s="2" t="n"/>
      <c r="E396" s="4" t="n"/>
    </row>
    <row r="397" ht="15.75" customHeight="1">
      <c r="B397" s="2" t="n"/>
      <c r="E397" s="4" t="n"/>
    </row>
    <row r="398" ht="15.75" customHeight="1">
      <c r="B398" s="2" t="n"/>
      <c r="E398" s="4" t="n"/>
    </row>
    <row r="399" ht="15.75" customHeight="1">
      <c r="B399" s="2" t="n"/>
      <c r="E399" s="4" t="n"/>
    </row>
    <row r="400" ht="15.75" customHeight="1">
      <c r="B400" s="2" t="n"/>
      <c r="E400" s="4" t="n"/>
    </row>
    <row r="401" ht="15.75" customHeight="1">
      <c r="B401" s="2" t="n"/>
      <c r="E401" s="4" t="n"/>
    </row>
    <row r="402" ht="15.75" customHeight="1">
      <c r="B402" s="2" t="n"/>
      <c r="E402" s="4" t="n"/>
    </row>
    <row r="403" ht="15.75" customHeight="1">
      <c r="B403" s="2" t="n"/>
      <c r="E403" s="4" t="n"/>
    </row>
    <row r="404" ht="15.75" customHeight="1">
      <c r="B404" s="2" t="n"/>
      <c r="E404" s="4" t="n"/>
    </row>
    <row r="405" ht="15.75" customHeight="1">
      <c r="B405" s="2" t="n"/>
      <c r="E405" s="4" t="n"/>
    </row>
    <row r="406" ht="15.75" customHeight="1">
      <c r="B406" s="2" t="n"/>
      <c r="E406" s="4" t="n"/>
    </row>
    <row r="407" ht="15.75" customHeight="1">
      <c r="B407" s="2" t="n"/>
      <c r="E407" s="4" t="n"/>
    </row>
    <row r="408" ht="15.75" customHeight="1">
      <c r="B408" s="2" t="n"/>
      <c r="E408" s="4" t="n"/>
    </row>
    <row r="409" ht="15.75" customHeight="1">
      <c r="B409" s="2" t="n"/>
      <c r="E409" s="4" t="n"/>
    </row>
    <row r="410" ht="15.75" customHeight="1">
      <c r="B410" s="2" t="n"/>
      <c r="E410" s="4" t="n"/>
    </row>
    <row r="411" ht="15.75" customHeight="1">
      <c r="B411" s="2" t="n"/>
      <c r="E411" s="4" t="n"/>
    </row>
    <row r="412" ht="15.75" customHeight="1">
      <c r="B412" s="2" t="n"/>
      <c r="E412" s="4" t="n"/>
    </row>
    <row r="413" ht="15.75" customHeight="1">
      <c r="B413" s="2" t="n"/>
      <c r="E413" s="4" t="n"/>
    </row>
    <row r="414" ht="15.75" customHeight="1">
      <c r="B414" s="2" t="n"/>
      <c r="E414" s="4" t="n"/>
    </row>
    <row r="415" ht="15.75" customHeight="1">
      <c r="B415" s="2" t="n"/>
      <c r="E415" s="4" t="n"/>
    </row>
    <row r="416" ht="15.75" customHeight="1">
      <c r="B416" s="2" t="n"/>
      <c r="E416" s="4" t="n"/>
    </row>
    <row r="417" ht="15.75" customHeight="1">
      <c r="B417" s="2" t="n"/>
      <c r="E417" s="4" t="n"/>
    </row>
    <row r="418" ht="15.75" customHeight="1">
      <c r="B418" s="2" t="n"/>
      <c r="E418" s="4" t="n"/>
    </row>
    <row r="419" ht="15.75" customHeight="1">
      <c r="B419" s="2" t="n"/>
      <c r="E419" s="4" t="n"/>
    </row>
    <row r="420" ht="15.75" customHeight="1">
      <c r="B420" s="2" t="n"/>
      <c r="E420" s="4" t="n"/>
    </row>
    <row r="421" ht="15.75" customHeight="1">
      <c r="B421" s="2" t="n"/>
      <c r="E421" s="4" t="n"/>
    </row>
    <row r="422" ht="15.75" customHeight="1">
      <c r="B422" s="2" t="n"/>
      <c r="E422" s="4" t="n"/>
    </row>
    <row r="423" ht="15.75" customHeight="1">
      <c r="B423" s="2" t="n"/>
      <c r="E423" s="4" t="n"/>
    </row>
    <row r="424" ht="15.75" customHeight="1">
      <c r="B424" s="2" t="n"/>
      <c r="E424" s="4" t="n"/>
    </row>
    <row r="425" ht="15.75" customHeight="1">
      <c r="B425" s="2" t="n"/>
      <c r="E425" s="4" t="n"/>
    </row>
    <row r="426" ht="15.75" customHeight="1">
      <c r="B426" s="2" t="n"/>
      <c r="E426" s="4" t="n"/>
    </row>
    <row r="427" ht="15.75" customHeight="1">
      <c r="B427" s="2" t="n"/>
      <c r="E427" s="4" t="n"/>
    </row>
    <row r="428" ht="15.75" customHeight="1">
      <c r="B428" s="2" t="n"/>
      <c r="E428" s="4" t="n"/>
    </row>
    <row r="429" ht="15.75" customHeight="1">
      <c r="B429" s="2" t="n"/>
      <c r="E429" s="4" t="n"/>
    </row>
    <row r="430" ht="15.75" customHeight="1">
      <c r="B430" s="2" t="n"/>
      <c r="E430" s="4" t="n"/>
    </row>
    <row r="431" ht="15.75" customHeight="1">
      <c r="B431" s="2" t="n"/>
      <c r="E431" s="4" t="n"/>
    </row>
    <row r="432" ht="15.75" customHeight="1">
      <c r="B432" s="2" t="n"/>
      <c r="E432" s="4" t="n"/>
    </row>
    <row r="433" ht="15.75" customHeight="1">
      <c r="B433" s="2" t="n"/>
      <c r="E433" s="4" t="n"/>
    </row>
    <row r="434" ht="15.75" customHeight="1">
      <c r="B434" s="2" t="n"/>
      <c r="E434" s="4" t="n"/>
    </row>
    <row r="435" ht="15.75" customHeight="1">
      <c r="B435" s="2" t="n"/>
      <c r="E435" s="4" t="n"/>
    </row>
    <row r="436" ht="15.75" customHeight="1">
      <c r="B436" s="2" t="n"/>
      <c r="E436" s="4" t="n"/>
    </row>
    <row r="437" ht="15.75" customHeight="1">
      <c r="B437" s="2" t="n"/>
      <c r="E437" s="4" t="n"/>
    </row>
    <row r="438" ht="15.75" customHeight="1">
      <c r="B438" s="2" t="n"/>
      <c r="E438" s="4" t="n"/>
    </row>
    <row r="439" ht="15.75" customHeight="1">
      <c r="B439" s="2" t="n"/>
      <c r="E439" s="4" t="n"/>
    </row>
    <row r="440" ht="15.75" customHeight="1">
      <c r="B440" s="2" t="n"/>
      <c r="E440" s="4" t="n"/>
    </row>
    <row r="441" ht="15.75" customHeight="1">
      <c r="B441" s="2" t="n"/>
      <c r="E441" s="4" t="n"/>
    </row>
    <row r="442" ht="15.75" customHeight="1">
      <c r="B442" s="2" t="n"/>
      <c r="E442" s="4" t="n"/>
    </row>
    <row r="443" ht="15.75" customHeight="1">
      <c r="B443" s="2" t="n"/>
      <c r="E443" s="4" t="n"/>
    </row>
    <row r="444" ht="15.75" customHeight="1">
      <c r="B444" s="2" t="n"/>
      <c r="E444" s="4" t="n"/>
    </row>
    <row r="445" ht="15.75" customHeight="1">
      <c r="B445" s="2" t="n"/>
      <c r="E445" s="4" t="n"/>
    </row>
    <row r="446" ht="15.75" customHeight="1">
      <c r="B446" s="2" t="n"/>
      <c r="E446" s="4" t="n"/>
    </row>
    <row r="447" ht="15.75" customHeight="1">
      <c r="B447" s="2" t="n"/>
      <c r="E447" s="4" t="n"/>
    </row>
    <row r="448" ht="15.75" customHeight="1">
      <c r="B448" s="2" t="n"/>
      <c r="E448" s="4" t="n"/>
    </row>
    <row r="449" ht="15.75" customHeight="1">
      <c r="B449" s="2" t="n"/>
      <c r="E449" s="4" t="n"/>
    </row>
    <row r="450" ht="15.75" customHeight="1">
      <c r="B450" s="2" t="n"/>
      <c r="E450" s="4" t="n"/>
    </row>
    <row r="451" ht="15.75" customHeight="1">
      <c r="B451" s="2" t="n"/>
      <c r="E451" s="4" t="n"/>
    </row>
    <row r="452" ht="15.75" customHeight="1">
      <c r="B452" s="2" t="n"/>
      <c r="E452" s="4" t="n"/>
    </row>
    <row r="453" ht="15.75" customHeight="1">
      <c r="B453" s="2" t="n"/>
      <c r="E453" s="4" t="n"/>
    </row>
    <row r="454" ht="15.75" customHeight="1">
      <c r="B454" s="2" t="n"/>
      <c r="E454" s="4" t="n"/>
    </row>
    <row r="455" ht="15.75" customHeight="1">
      <c r="B455" s="2" t="n"/>
      <c r="E455" s="4" t="n"/>
    </row>
    <row r="456" ht="15.75" customHeight="1">
      <c r="B456" s="2" t="n"/>
      <c r="E456" s="4" t="n"/>
    </row>
    <row r="457" ht="15.75" customHeight="1">
      <c r="B457" s="2" t="n"/>
      <c r="E457" s="4" t="n"/>
    </row>
    <row r="458" ht="15.75" customHeight="1">
      <c r="B458" s="2" t="n"/>
      <c r="E458" s="4" t="n"/>
    </row>
    <row r="459" ht="15.75" customHeight="1">
      <c r="B459" s="2" t="n"/>
      <c r="E459" s="4" t="n"/>
    </row>
    <row r="460" ht="15.75" customHeight="1">
      <c r="B460" s="2" t="n"/>
      <c r="E460" s="4" t="n"/>
    </row>
    <row r="461" ht="15.75" customHeight="1">
      <c r="B461" s="2" t="n"/>
      <c r="E461" s="4" t="n"/>
    </row>
    <row r="462" ht="15.75" customHeight="1">
      <c r="B462" s="2" t="n"/>
      <c r="E462" s="4" t="n"/>
    </row>
    <row r="463" ht="15.75" customHeight="1">
      <c r="B463" s="2" t="n"/>
      <c r="E463" s="4" t="n"/>
    </row>
    <row r="464" ht="15.75" customHeight="1">
      <c r="B464" s="2" t="n"/>
      <c r="E464" s="4" t="n"/>
    </row>
    <row r="465" ht="15.75" customHeight="1">
      <c r="B465" s="2" t="n"/>
      <c r="E465" s="4" t="n"/>
    </row>
    <row r="466" ht="15.75" customHeight="1">
      <c r="B466" s="2" t="n"/>
      <c r="E466" s="4" t="n"/>
    </row>
    <row r="467" ht="15.75" customHeight="1">
      <c r="B467" s="2" t="n"/>
      <c r="E467" s="4" t="n"/>
    </row>
    <row r="468" ht="15.75" customHeight="1">
      <c r="B468" s="2" t="n"/>
      <c r="E468" s="4" t="n"/>
    </row>
    <row r="469" ht="15.75" customHeight="1">
      <c r="B469" s="2" t="n"/>
      <c r="E469" s="4" t="n"/>
    </row>
    <row r="470" ht="15.75" customHeight="1">
      <c r="B470" s="2" t="n"/>
      <c r="E470" s="4" t="n"/>
    </row>
    <row r="471" ht="15.75" customHeight="1">
      <c r="B471" s="2" t="n"/>
      <c r="E471" s="4" t="n"/>
    </row>
    <row r="472" ht="15.75" customHeight="1">
      <c r="B472" s="2" t="n"/>
      <c r="E472" s="4" t="n"/>
    </row>
    <row r="473" ht="15.75" customHeight="1">
      <c r="B473" s="2" t="n"/>
      <c r="E473" s="4" t="n"/>
    </row>
    <row r="474" ht="15.75" customHeight="1">
      <c r="B474" s="2" t="n"/>
      <c r="E474" s="4" t="n"/>
    </row>
    <row r="475" ht="15.75" customHeight="1">
      <c r="B475" s="2" t="n"/>
      <c r="E475" s="4" t="n"/>
    </row>
    <row r="476" ht="15.75" customHeight="1">
      <c r="B476" s="2" t="n"/>
      <c r="E476" s="4" t="n"/>
    </row>
    <row r="477" ht="15.75" customHeight="1">
      <c r="B477" s="2" t="n"/>
      <c r="E477" s="4" t="n"/>
    </row>
    <row r="478" ht="15.75" customHeight="1">
      <c r="B478" s="2" t="n"/>
      <c r="E478" s="4" t="n"/>
    </row>
    <row r="479" ht="15.75" customHeight="1">
      <c r="B479" s="2" t="n"/>
      <c r="E479" s="4" t="n"/>
    </row>
    <row r="480" ht="15.75" customHeight="1">
      <c r="B480" s="2" t="n"/>
      <c r="E480" s="4" t="n"/>
    </row>
    <row r="481" ht="15.75" customHeight="1">
      <c r="B481" s="2" t="n"/>
      <c r="E481" s="4" t="n"/>
    </row>
    <row r="482" ht="15.75" customHeight="1">
      <c r="B482" s="2" t="n"/>
      <c r="E482" s="4" t="n"/>
    </row>
    <row r="483" ht="15.75" customHeight="1">
      <c r="B483" s="2" t="n"/>
      <c r="E483" s="4" t="n"/>
    </row>
    <row r="484" ht="15.75" customHeight="1">
      <c r="B484" s="2" t="n"/>
      <c r="E484" s="4" t="n"/>
    </row>
    <row r="485" ht="15.75" customHeight="1">
      <c r="B485" s="2" t="n"/>
      <c r="E485" s="4" t="n"/>
    </row>
    <row r="486" ht="15.75" customHeight="1">
      <c r="B486" s="2" t="n"/>
      <c r="E486" s="4" t="n"/>
    </row>
    <row r="487" ht="15.75" customHeight="1">
      <c r="B487" s="2" t="n"/>
      <c r="E487" s="4" t="n"/>
    </row>
    <row r="488" ht="15.75" customHeight="1">
      <c r="B488" s="2" t="n"/>
      <c r="E488" s="4" t="n"/>
    </row>
    <row r="489" ht="15.75" customHeight="1">
      <c r="B489" s="2" t="n"/>
      <c r="E489" s="4" t="n"/>
    </row>
    <row r="490" ht="15.75" customHeight="1">
      <c r="B490" s="2" t="n"/>
      <c r="E490" s="4" t="n"/>
    </row>
    <row r="491" ht="15.75" customHeight="1">
      <c r="B491" s="2" t="n"/>
      <c r="E491" s="4" t="n"/>
    </row>
    <row r="492" ht="15.75" customHeight="1">
      <c r="B492" s="2" t="n"/>
      <c r="E492" s="4" t="n"/>
    </row>
    <row r="493" ht="15.75" customHeight="1">
      <c r="B493" s="2" t="n"/>
      <c r="E493" s="4" t="n"/>
    </row>
    <row r="494" ht="15.75" customHeight="1">
      <c r="B494" s="2" t="n"/>
      <c r="E494" s="4" t="n"/>
    </row>
    <row r="495" ht="15.75" customHeight="1">
      <c r="B495" s="2" t="n"/>
      <c r="E495" s="4" t="n"/>
    </row>
    <row r="496" ht="15.75" customHeight="1">
      <c r="B496" s="2" t="n"/>
      <c r="E496" s="4" t="n"/>
    </row>
    <row r="497" ht="15.75" customHeight="1">
      <c r="B497" s="2" t="n"/>
      <c r="E497" s="4" t="n"/>
    </row>
    <row r="498" ht="15.75" customHeight="1">
      <c r="B498" s="2" t="n"/>
      <c r="E498" s="4" t="n"/>
    </row>
    <row r="499" ht="15.75" customHeight="1">
      <c r="B499" s="2" t="n"/>
      <c r="E499" s="4" t="n"/>
    </row>
    <row r="500" ht="15.75" customHeight="1">
      <c r="B500" s="2" t="n"/>
      <c r="E500" s="4" t="n"/>
    </row>
    <row r="501" ht="15.75" customHeight="1">
      <c r="B501" s="2" t="n"/>
      <c r="E501" s="4" t="n"/>
    </row>
    <row r="502" ht="15.75" customHeight="1">
      <c r="B502" s="2" t="n"/>
      <c r="E502" s="4" t="n"/>
    </row>
    <row r="503" ht="15.75" customHeight="1">
      <c r="B503" s="2" t="n"/>
      <c r="E503" s="4" t="n"/>
    </row>
    <row r="504" ht="15.75" customHeight="1">
      <c r="B504" s="2" t="n"/>
      <c r="E504" s="4" t="n"/>
    </row>
    <row r="505" ht="15.75" customHeight="1">
      <c r="B505" s="2" t="n"/>
      <c r="E505" s="4" t="n"/>
    </row>
    <row r="506" ht="15.75" customHeight="1">
      <c r="B506" s="2" t="n"/>
      <c r="E506" s="4" t="n"/>
    </row>
    <row r="507" ht="15.75" customHeight="1">
      <c r="B507" s="2" t="n"/>
      <c r="E507" s="4" t="n"/>
    </row>
    <row r="508" ht="15.75" customHeight="1">
      <c r="B508" s="2" t="n"/>
      <c r="E508" s="4" t="n"/>
    </row>
    <row r="509" ht="15.75" customHeight="1">
      <c r="B509" s="2" t="n"/>
      <c r="E509" s="4" t="n"/>
    </row>
    <row r="510" ht="15.75" customHeight="1">
      <c r="B510" s="2" t="n"/>
      <c r="E510" s="4" t="n"/>
    </row>
    <row r="511" ht="15.75" customHeight="1">
      <c r="B511" s="2" t="n"/>
      <c r="E511" s="4" t="n"/>
    </row>
    <row r="512" ht="15.75" customHeight="1">
      <c r="B512" s="2" t="n"/>
      <c r="E512" s="4" t="n"/>
    </row>
    <row r="513" ht="15.75" customHeight="1">
      <c r="B513" s="2" t="n"/>
      <c r="E513" s="4" t="n"/>
    </row>
    <row r="514" ht="15.75" customHeight="1">
      <c r="B514" s="2" t="n"/>
      <c r="E514" s="4" t="n"/>
    </row>
    <row r="515" ht="15.75" customHeight="1">
      <c r="B515" s="2" t="n"/>
      <c r="E515" s="4" t="n"/>
    </row>
    <row r="516" ht="15.75" customHeight="1">
      <c r="B516" s="2" t="n"/>
      <c r="E516" s="4" t="n"/>
    </row>
    <row r="517" ht="15.75" customHeight="1">
      <c r="B517" s="2" t="n"/>
      <c r="E517" s="4" t="n"/>
    </row>
    <row r="518" ht="15.75" customHeight="1">
      <c r="B518" s="2" t="n"/>
      <c r="E518" s="4" t="n"/>
    </row>
    <row r="519" ht="15.75" customHeight="1">
      <c r="B519" s="2" t="n"/>
      <c r="E519" s="4" t="n"/>
    </row>
    <row r="520" ht="15.75" customHeight="1">
      <c r="B520" s="2" t="n"/>
      <c r="E520" s="4" t="n"/>
    </row>
    <row r="521" ht="15.75" customHeight="1">
      <c r="B521" s="2" t="n"/>
      <c r="E521" s="4" t="n"/>
    </row>
    <row r="522" ht="15.75" customHeight="1">
      <c r="B522" s="2" t="n"/>
      <c r="E522" s="4" t="n"/>
    </row>
    <row r="523" ht="15.75" customHeight="1">
      <c r="B523" s="2" t="n"/>
      <c r="E523" s="4" t="n"/>
    </row>
    <row r="524" ht="15.75" customHeight="1">
      <c r="B524" s="2" t="n"/>
      <c r="E524" s="4" t="n"/>
    </row>
    <row r="525" ht="15.75" customHeight="1">
      <c r="B525" s="2" t="n"/>
      <c r="E525" s="4" t="n"/>
    </row>
    <row r="526" ht="15.75" customHeight="1">
      <c r="B526" s="2" t="n"/>
      <c r="E526" s="4" t="n"/>
    </row>
    <row r="527" ht="15.75" customHeight="1">
      <c r="B527" s="2" t="n"/>
      <c r="E527" s="4" t="n"/>
    </row>
    <row r="528" ht="15.75" customHeight="1">
      <c r="B528" s="2" t="n"/>
      <c r="E528" s="4" t="n"/>
    </row>
    <row r="529" ht="15.75" customHeight="1">
      <c r="B529" s="2" t="n"/>
      <c r="E529" s="4" t="n"/>
    </row>
    <row r="530" ht="15.75" customHeight="1">
      <c r="B530" s="2" t="n"/>
      <c r="E530" s="4" t="n"/>
    </row>
    <row r="531" ht="15.75" customHeight="1">
      <c r="B531" s="2" t="n"/>
      <c r="E531" s="4" t="n"/>
    </row>
    <row r="532" ht="15.75" customHeight="1">
      <c r="B532" s="2" t="n"/>
      <c r="E532" s="4" t="n"/>
    </row>
    <row r="533" ht="15.75" customHeight="1">
      <c r="B533" s="2" t="n"/>
      <c r="E533" s="4" t="n"/>
    </row>
    <row r="534" ht="15.75" customHeight="1">
      <c r="B534" s="2" t="n"/>
      <c r="E534" s="4" t="n"/>
    </row>
    <row r="535" ht="15.75" customHeight="1">
      <c r="B535" s="2" t="n"/>
      <c r="E535" s="4" t="n"/>
    </row>
    <row r="536" ht="15.75" customHeight="1">
      <c r="B536" s="2" t="n"/>
      <c r="E536" s="4" t="n"/>
    </row>
    <row r="537" ht="15.75" customHeight="1">
      <c r="B537" s="2" t="n"/>
      <c r="E537" s="4" t="n"/>
    </row>
    <row r="538" ht="15.75" customHeight="1">
      <c r="B538" s="2" t="n"/>
      <c r="E538" s="4" t="n"/>
    </row>
    <row r="539" ht="15.75" customHeight="1">
      <c r="B539" s="2" t="n"/>
      <c r="E539" s="4" t="n"/>
    </row>
    <row r="540" ht="15.75" customHeight="1">
      <c r="B540" s="2" t="n"/>
      <c r="E540" s="4" t="n"/>
    </row>
    <row r="541" ht="15.75" customHeight="1">
      <c r="B541" s="2" t="n"/>
      <c r="E541" s="4" t="n"/>
    </row>
    <row r="542" ht="15.75" customHeight="1">
      <c r="B542" s="2" t="n"/>
      <c r="E542" s="4" t="n"/>
    </row>
    <row r="543" ht="15.75" customHeight="1">
      <c r="B543" s="2" t="n"/>
      <c r="E543" s="4" t="n"/>
    </row>
    <row r="544" ht="15.75" customHeight="1">
      <c r="B544" s="2" t="n"/>
      <c r="E544" s="4" t="n"/>
    </row>
    <row r="545" ht="15.75" customHeight="1">
      <c r="B545" s="2" t="n"/>
      <c r="E545" s="4" t="n"/>
    </row>
    <row r="546" ht="15.75" customHeight="1">
      <c r="B546" s="2" t="n"/>
      <c r="E546" s="4" t="n"/>
    </row>
    <row r="547" ht="15.75" customHeight="1">
      <c r="B547" s="2" t="n"/>
      <c r="E547" s="4" t="n"/>
    </row>
    <row r="548" ht="15.75" customHeight="1">
      <c r="B548" s="2" t="n"/>
      <c r="E548" s="4" t="n"/>
    </row>
    <row r="549" ht="15.75" customHeight="1">
      <c r="B549" s="2" t="n"/>
      <c r="E549" s="4" t="n"/>
    </row>
    <row r="550" ht="15.75" customHeight="1">
      <c r="B550" s="2" t="n"/>
      <c r="E550" s="4" t="n"/>
    </row>
    <row r="551" ht="15.75" customHeight="1">
      <c r="B551" s="2" t="n"/>
      <c r="E551" s="4" t="n"/>
    </row>
    <row r="552" ht="15.75" customHeight="1">
      <c r="B552" s="2" t="n"/>
      <c r="E552" s="4" t="n"/>
    </row>
    <row r="553" ht="15.75" customHeight="1">
      <c r="B553" s="2" t="n"/>
      <c r="E553" s="4" t="n"/>
    </row>
    <row r="554" ht="15.75" customHeight="1">
      <c r="B554" s="2" t="n"/>
      <c r="E554" s="4" t="n"/>
    </row>
    <row r="555" ht="15.75" customHeight="1">
      <c r="B555" s="2" t="n"/>
      <c r="E555" s="4" t="n"/>
    </row>
    <row r="556" ht="15.75" customHeight="1">
      <c r="B556" s="2" t="n"/>
      <c r="E556" s="4" t="n"/>
    </row>
    <row r="557" ht="15.75" customHeight="1">
      <c r="B557" s="2" t="n"/>
      <c r="E557" s="4" t="n"/>
    </row>
    <row r="558" ht="15.75" customHeight="1">
      <c r="B558" s="2" t="n"/>
      <c r="E558" s="4" t="n"/>
    </row>
    <row r="559" ht="15.75" customHeight="1">
      <c r="B559" s="2" t="n"/>
      <c r="E559" s="4" t="n"/>
    </row>
    <row r="560" ht="15.75" customHeight="1">
      <c r="B560" s="2" t="n"/>
      <c r="E560" s="4" t="n"/>
    </row>
    <row r="561" ht="15.75" customHeight="1">
      <c r="B561" s="2" t="n"/>
      <c r="E561" s="4" t="n"/>
    </row>
    <row r="562" ht="15.75" customHeight="1">
      <c r="B562" s="2" t="n"/>
      <c r="E562" s="4" t="n"/>
    </row>
    <row r="563" ht="15.75" customHeight="1">
      <c r="B563" s="2" t="n"/>
      <c r="E563" s="4" t="n"/>
    </row>
    <row r="564" ht="15.75" customHeight="1">
      <c r="B564" s="2" t="n"/>
      <c r="E564" s="4" t="n"/>
    </row>
    <row r="565" ht="15.75" customHeight="1">
      <c r="B565" s="2" t="n"/>
      <c r="E565" s="4" t="n"/>
    </row>
    <row r="566" ht="15.75" customHeight="1">
      <c r="B566" s="2" t="n"/>
      <c r="E566" s="4" t="n"/>
    </row>
    <row r="567" ht="15.75" customHeight="1">
      <c r="B567" s="2" t="n"/>
      <c r="E567" s="4" t="n"/>
    </row>
    <row r="568" ht="15.75" customHeight="1">
      <c r="B568" s="2" t="n"/>
      <c r="E568" s="4" t="n"/>
    </row>
    <row r="569" ht="15.75" customHeight="1">
      <c r="B569" s="2" t="n"/>
      <c r="E569" s="4" t="n"/>
    </row>
    <row r="570" ht="15.75" customHeight="1">
      <c r="B570" s="2" t="n"/>
      <c r="E570" s="4" t="n"/>
    </row>
    <row r="571" ht="15.75" customHeight="1">
      <c r="B571" s="2" t="n"/>
      <c r="E571" s="4" t="n"/>
    </row>
    <row r="572" ht="15.75" customHeight="1">
      <c r="B572" s="2" t="n"/>
      <c r="E572" s="4" t="n"/>
    </row>
    <row r="573" ht="15.75" customHeight="1">
      <c r="B573" s="2" t="n"/>
      <c r="E573" s="4" t="n"/>
    </row>
    <row r="574" ht="15.75" customHeight="1">
      <c r="B574" s="2" t="n"/>
      <c r="E574" s="4" t="n"/>
    </row>
    <row r="575" ht="15.75" customHeight="1">
      <c r="B575" s="2" t="n"/>
      <c r="E575" s="4" t="n"/>
    </row>
    <row r="576" ht="15.75" customHeight="1">
      <c r="B576" s="2" t="n"/>
      <c r="E576" s="4" t="n"/>
    </row>
    <row r="577" ht="15.75" customHeight="1">
      <c r="B577" s="2" t="n"/>
      <c r="E577" s="4" t="n"/>
    </row>
    <row r="578" ht="15.75" customHeight="1">
      <c r="B578" s="2" t="n"/>
      <c r="E578" s="4" t="n"/>
    </row>
    <row r="579" ht="15.75" customHeight="1">
      <c r="B579" s="2" t="n"/>
      <c r="E579" s="4" t="n"/>
    </row>
    <row r="580" ht="15.75" customHeight="1">
      <c r="B580" s="2" t="n"/>
      <c r="E580" s="4" t="n"/>
    </row>
    <row r="581" ht="15.75" customHeight="1">
      <c r="B581" s="2" t="n"/>
      <c r="E581" s="4" t="n"/>
    </row>
    <row r="582" ht="15.75" customHeight="1">
      <c r="B582" s="2" t="n"/>
      <c r="E582" s="4" t="n"/>
    </row>
    <row r="583" ht="15.75" customHeight="1">
      <c r="B583" s="2" t="n"/>
      <c r="E583" s="4" t="n"/>
    </row>
    <row r="584" ht="15.75" customHeight="1">
      <c r="B584" s="2" t="n"/>
      <c r="E584" s="4" t="n"/>
    </row>
    <row r="585" ht="15.75" customHeight="1">
      <c r="B585" s="2" t="n"/>
      <c r="E585" s="4" t="n"/>
    </row>
    <row r="586" ht="15.75" customHeight="1">
      <c r="B586" s="2" t="n"/>
      <c r="E586" s="4" t="n"/>
    </row>
    <row r="587" ht="15.75" customHeight="1">
      <c r="B587" s="2" t="n"/>
      <c r="E587" s="4" t="n"/>
    </row>
    <row r="588" ht="15.75" customHeight="1">
      <c r="B588" s="2" t="n"/>
      <c r="E588" s="4" t="n"/>
    </row>
    <row r="589" ht="15.75" customHeight="1">
      <c r="B589" s="2" t="n"/>
      <c r="E589" s="4" t="n"/>
    </row>
    <row r="590" ht="15.75" customHeight="1">
      <c r="B590" s="2" t="n"/>
      <c r="E590" s="4" t="n"/>
    </row>
    <row r="591" ht="15.75" customHeight="1">
      <c r="B591" s="2" t="n"/>
      <c r="E591" s="4" t="n"/>
    </row>
    <row r="592" ht="15.75" customHeight="1">
      <c r="B592" s="2" t="n"/>
      <c r="E592" s="4" t="n"/>
    </row>
    <row r="593" ht="15.75" customHeight="1">
      <c r="B593" s="2" t="n"/>
      <c r="E593" s="4" t="n"/>
    </row>
    <row r="594" ht="15.75" customHeight="1">
      <c r="B594" s="2" t="n"/>
      <c r="E594" s="4" t="n"/>
    </row>
    <row r="595" ht="15.75" customHeight="1">
      <c r="B595" s="2" t="n"/>
      <c r="E595" s="4" t="n"/>
    </row>
    <row r="596" ht="15.75" customHeight="1">
      <c r="B596" s="2" t="n"/>
      <c r="E596" s="4" t="n"/>
    </row>
    <row r="597" ht="15.75" customHeight="1">
      <c r="B597" s="2" t="n"/>
      <c r="E597" s="4" t="n"/>
    </row>
    <row r="598" ht="15.75" customHeight="1">
      <c r="B598" s="2" t="n"/>
      <c r="E598" s="4" t="n"/>
    </row>
    <row r="599" ht="15.75" customHeight="1">
      <c r="B599" s="2" t="n"/>
      <c r="E599" s="4" t="n"/>
    </row>
    <row r="600" ht="15.75" customHeight="1">
      <c r="B600" s="2" t="n"/>
      <c r="E600" s="4" t="n"/>
    </row>
    <row r="601" ht="15.75" customHeight="1">
      <c r="B601" s="2" t="n"/>
      <c r="E601" s="4" t="n"/>
    </row>
    <row r="602" ht="15.75" customHeight="1">
      <c r="B602" s="2" t="n"/>
      <c r="E602" s="4" t="n"/>
    </row>
    <row r="603" ht="15.75" customHeight="1">
      <c r="B603" s="2" t="n"/>
      <c r="E603" s="4" t="n"/>
    </row>
    <row r="604" ht="15.75" customHeight="1">
      <c r="B604" s="2" t="n"/>
      <c r="E604" s="4" t="n"/>
    </row>
    <row r="605" ht="15.75" customHeight="1">
      <c r="B605" s="2" t="n"/>
      <c r="E605" s="4" t="n"/>
    </row>
    <row r="606" ht="15.75" customHeight="1">
      <c r="B606" s="2" t="n"/>
      <c r="E606" s="4" t="n"/>
    </row>
    <row r="607" ht="15.75" customHeight="1">
      <c r="B607" s="2" t="n"/>
      <c r="E607" s="4" t="n"/>
    </row>
    <row r="608" ht="15.75" customHeight="1">
      <c r="B608" s="2" t="n"/>
      <c r="E608" s="4" t="n"/>
    </row>
    <row r="609" ht="15.75" customHeight="1">
      <c r="B609" s="2" t="n"/>
      <c r="E609" s="4" t="n"/>
    </row>
    <row r="610" ht="15.75" customHeight="1">
      <c r="B610" s="2" t="n"/>
      <c r="E610" s="4" t="n"/>
    </row>
    <row r="611" ht="15.75" customHeight="1">
      <c r="B611" s="2" t="n"/>
      <c r="E611" s="4" t="n"/>
    </row>
    <row r="612" ht="15.75" customHeight="1">
      <c r="B612" s="2" t="n"/>
      <c r="E612" s="4" t="n"/>
    </row>
    <row r="613" ht="15.75" customHeight="1">
      <c r="B613" s="2" t="n"/>
      <c r="E613" s="4" t="n"/>
    </row>
    <row r="614" ht="15.75" customHeight="1">
      <c r="B614" s="2" t="n"/>
      <c r="E614" s="4" t="n"/>
    </row>
    <row r="615" ht="15.75" customHeight="1">
      <c r="B615" s="2" t="n"/>
      <c r="E615" s="4" t="n"/>
    </row>
    <row r="616" ht="15.75" customHeight="1">
      <c r="B616" s="2" t="n"/>
      <c r="E616" s="4" t="n"/>
    </row>
    <row r="617" ht="15.75" customHeight="1">
      <c r="B617" s="2" t="n"/>
      <c r="E617" s="4" t="n"/>
    </row>
    <row r="618" ht="15.75" customHeight="1">
      <c r="B618" s="2" t="n"/>
      <c r="E618" s="4" t="n"/>
    </row>
    <row r="619" ht="15.75" customHeight="1">
      <c r="B619" s="2" t="n"/>
      <c r="E619" s="4" t="n"/>
    </row>
    <row r="620" ht="15.75" customHeight="1">
      <c r="B620" s="2" t="n"/>
      <c r="E620" s="4" t="n"/>
    </row>
    <row r="621" ht="15.75" customHeight="1">
      <c r="B621" s="2" t="n"/>
      <c r="E621" s="4" t="n"/>
    </row>
    <row r="622" ht="15.75" customHeight="1">
      <c r="B622" s="2" t="n"/>
      <c r="E622" s="4" t="n"/>
    </row>
    <row r="623" ht="15.75" customHeight="1">
      <c r="B623" s="2" t="n"/>
      <c r="E623" s="4" t="n"/>
    </row>
    <row r="624" ht="15.75" customHeight="1">
      <c r="B624" s="2" t="n"/>
      <c r="E624" s="4" t="n"/>
    </row>
    <row r="625" ht="15.75" customHeight="1">
      <c r="B625" s="2" t="n"/>
      <c r="E625" s="4" t="n"/>
    </row>
    <row r="626" ht="15.75" customHeight="1">
      <c r="B626" s="2" t="n"/>
      <c r="E626" s="4" t="n"/>
    </row>
    <row r="627" ht="15.75" customHeight="1">
      <c r="B627" s="2" t="n"/>
      <c r="E627" s="4" t="n"/>
    </row>
    <row r="628" ht="15.75" customHeight="1">
      <c r="B628" s="2" t="n"/>
      <c r="E628" s="4" t="n"/>
    </row>
    <row r="629" ht="15.75" customHeight="1">
      <c r="B629" s="2" t="n"/>
      <c r="E629" s="4" t="n"/>
    </row>
    <row r="630" ht="15.75" customHeight="1">
      <c r="B630" s="2" t="n"/>
      <c r="E630" s="4" t="n"/>
    </row>
    <row r="631" ht="15.75" customHeight="1">
      <c r="B631" s="2" t="n"/>
      <c r="E631" s="4" t="n"/>
    </row>
    <row r="632" ht="15.75" customHeight="1">
      <c r="B632" s="2" t="n"/>
      <c r="E632" s="4" t="n"/>
    </row>
    <row r="633" ht="15.75" customHeight="1">
      <c r="B633" s="2" t="n"/>
      <c r="E633" s="4" t="n"/>
    </row>
    <row r="634" ht="15.75" customHeight="1">
      <c r="B634" s="2" t="n"/>
      <c r="E634" s="4" t="n"/>
    </row>
    <row r="635" ht="15.75" customHeight="1">
      <c r="B635" s="2" t="n"/>
      <c r="E635" s="4" t="n"/>
    </row>
    <row r="636" ht="15.75" customHeight="1">
      <c r="B636" s="2" t="n"/>
      <c r="E636" s="4" t="n"/>
    </row>
    <row r="637" ht="15.75" customHeight="1">
      <c r="B637" s="2" t="n"/>
      <c r="E637" s="4" t="n"/>
    </row>
    <row r="638" ht="15.75" customHeight="1">
      <c r="B638" s="2" t="n"/>
      <c r="E638" s="4" t="n"/>
    </row>
    <row r="639" ht="15.75" customHeight="1">
      <c r="B639" s="2" t="n"/>
      <c r="E639" s="4" t="n"/>
    </row>
    <row r="640" ht="15.75" customHeight="1">
      <c r="B640" s="2" t="n"/>
      <c r="E640" s="4" t="n"/>
    </row>
    <row r="641" ht="15.75" customHeight="1">
      <c r="B641" s="2" t="n"/>
      <c r="E641" s="4" t="n"/>
    </row>
    <row r="642" ht="15.75" customHeight="1">
      <c r="B642" s="2" t="n"/>
      <c r="E642" s="4" t="n"/>
    </row>
    <row r="643" ht="15.75" customHeight="1">
      <c r="B643" s="2" t="n"/>
      <c r="E643" s="4" t="n"/>
    </row>
    <row r="644" ht="15.75" customHeight="1">
      <c r="B644" s="2" t="n"/>
      <c r="E644" s="4" t="n"/>
    </row>
    <row r="645" ht="15.75" customHeight="1">
      <c r="B645" s="2" t="n"/>
      <c r="E645" s="4" t="n"/>
    </row>
    <row r="646" ht="15.75" customHeight="1">
      <c r="B646" s="2" t="n"/>
      <c r="E646" s="4" t="n"/>
    </row>
    <row r="647" ht="15.75" customHeight="1">
      <c r="B647" s="2" t="n"/>
      <c r="E647" s="4" t="n"/>
    </row>
    <row r="648" ht="15.75" customHeight="1">
      <c r="B648" s="2" t="n"/>
      <c r="E648" s="4" t="n"/>
    </row>
    <row r="649" ht="15.75" customHeight="1">
      <c r="B649" s="2" t="n"/>
      <c r="E649" s="4" t="n"/>
    </row>
    <row r="650" ht="15.75" customHeight="1">
      <c r="B650" s="2" t="n"/>
      <c r="E650" s="4" t="n"/>
    </row>
    <row r="651" ht="15.75" customHeight="1">
      <c r="B651" s="2" t="n"/>
      <c r="E651" s="4" t="n"/>
    </row>
    <row r="652" ht="15.75" customHeight="1">
      <c r="B652" s="2" t="n"/>
      <c r="E652" s="4" t="n"/>
    </row>
    <row r="653" ht="15.75" customHeight="1">
      <c r="B653" s="2" t="n"/>
      <c r="E653" s="4" t="n"/>
    </row>
    <row r="654" ht="15.75" customHeight="1">
      <c r="B654" s="2" t="n"/>
      <c r="E654" s="4" t="n"/>
    </row>
    <row r="655" ht="15.75" customHeight="1">
      <c r="B655" s="2" t="n"/>
      <c r="E655" s="4" t="n"/>
    </row>
    <row r="656" ht="15.75" customHeight="1">
      <c r="B656" s="2" t="n"/>
      <c r="E656" s="4" t="n"/>
    </row>
    <row r="657" ht="15.75" customHeight="1">
      <c r="B657" s="2" t="n"/>
      <c r="E657" s="4" t="n"/>
    </row>
    <row r="658" ht="15.75" customHeight="1">
      <c r="B658" s="2" t="n"/>
      <c r="E658" s="4" t="n"/>
    </row>
    <row r="659" ht="15.75" customHeight="1">
      <c r="B659" s="2" t="n"/>
      <c r="E659" s="4" t="n"/>
    </row>
    <row r="660" ht="15.75" customHeight="1">
      <c r="B660" s="2" t="n"/>
      <c r="E660" s="4" t="n"/>
    </row>
    <row r="661" ht="15.75" customHeight="1">
      <c r="B661" s="2" t="n"/>
      <c r="E661" s="4" t="n"/>
    </row>
    <row r="662" ht="15.75" customHeight="1">
      <c r="B662" s="2" t="n"/>
      <c r="E662" s="4" t="n"/>
    </row>
    <row r="663" ht="15.75" customHeight="1">
      <c r="B663" s="2" t="n"/>
      <c r="E663" s="4" t="n"/>
    </row>
    <row r="664" ht="15.75" customHeight="1">
      <c r="B664" s="2" t="n"/>
      <c r="E664" s="4" t="n"/>
    </row>
    <row r="665" ht="15.75" customHeight="1">
      <c r="B665" s="2" t="n"/>
      <c r="E665" s="4" t="n"/>
    </row>
    <row r="666" ht="15.75" customHeight="1">
      <c r="B666" s="2" t="n"/>
      <c r="E666" s="4" t="n"/>
    </row>
    <row r="667" ht="15.75" customHeight="1">
      <c r="B667" s="2" t="n"/>
      <c r="E667" s="4" t="n"/>
    </row>
    <row r="668" ht="15.75" customHeight="1">
      <c r="B668" s="2" t="n"/>
      <c r="E668" s="4" t="n"/>
    </row>
    <row r="669" ht="15.75" customHeight="1">
      <c r="B669" s="2" t="n"/>
      <c r="E669" s="4" t="n"/>
    </row>
    <row r="670" ht="15.75" customHeight="1">
      <c r="B670" s="2" t="n"/>
      <c r="E670" s="4" t="n"/>
    </row>
    <row r="671" ht="15.75" customHeight="1">
      <c r="B671" s="2" t="n"/>
      <c r="E671" s="4" t="n"/>
    </row>
    <row r="672" ht="15.75" customHeight="1">
      <c r="B672" s="2" t="n"/>
      <c r="E672" s="4" t="n"/>
    </row>
    <row r="673" ht="15.75" customHeight="1">
      <c r="B673" s="2" t="n"/>
      <c r="E673" s="4" t="n"/>
    </row>
    <row r="674" ht="15.75" customHeight="1">
      <c r="B674" s="2" t="n"/>
      <c r="E674" s="4" t="n"/>
    </row>
    <row r="675" ht="15.75" customHeight="1">
      <c r="B675" s="2" t="n"/>
      <c r="E675" s="4" t="n"/>
    </row>
    <row r="676" ht="15.75" customHeight="1">
      <c r="B676" s="2" t="n"/>
      <c r="E676" s="4" t="n"/>
    </row>
    <row r="677" ht="15.75" customHeight="1">
      <c r="B677" s="2" t="n"/>
      <c r="E677" s="4" t="n"/>
    </row>
    <row r="678" ht="15.75" customHeight="1">
      <c r="B678" s="2" t="n"/>
      <c r="E678" s="4" t="n"/>
    </row>
    <row r="679" ht="15.75" customHeight="1">
      <c r="B679" s="2" t="n"/>
      <c r="E679" s="4" t="n"/>
    </row>
    <row r="680" ht="15.75" customHeight="1">
      <c r="B680" s="2" t="n"/>
      <c r="E680" s="4" t="n"/>
    </row>
    <row r="681" ht="15.75" customHeight="1">
      <c r="B681" s="2" t="n"/>
      <c r="E681" s="4" t="n"/>
    </row>
    <row r="682" ht="15.75" customHeight="1">
      <c r="B682" s="2" t="n"/>
      <c r="E682" s="4" t="n"/>
    </row>
    <row r="683" ht="15.75" customHeight="1">
      <c r="B683" s="2" t="n"/>
      <c r="E683" s="4" t="n"/>
    </row>
    <row r="684" ht="15.75" customHeight="1">
      <c r="B684" s="2" t="n"/>
      <c r="E684" s="4" t="n"/>
    </row>
    <row r="685" ht="15.75" customHeight="1">
      <c r="B685" s="2" t="n"/>
      <c r="E685" s="4" t="n"/>
    </row>
    <row r="686" ht="15.75" customHeight="1">
      <c r="B686" s="2" t="n"/>
      <c r="E686" s="4" t="n"/>
    </row>
    <row r="687" ht="15.75" customHeight="1">
      <c r="B687" s="2" t="n"/>
      <c r="E687" s="4" t="n"/>
    </row>
    <row r="688" ht="15.75" customHeight="1">
      <c r="B688" s="2" t="n"/>
      <c r="E688" s="4" t="n"/>
    </row>
    <row r="689" ht="15.75" customHeight="1">
      <c r="B689" s="2" t="n"/>
      <c r="E689" s="4" t="n"/>
    </row>
    <row r="690" ht="15.75" customHeight="1">
      <c r="B690" s="2" t="n"/>
      <c r="E690" s="4" t="n"/>
    </row>
    <row r="691" ht="15.75" customHeight="1">
      <c r="B691" s="2" t="n"/>
      <c r="E691" s="4" t="n"/>
    </row>
    <row r="692" ht="15.75" customHeight="1">
      <c r="B692" s="2" t="n"/>
      <c r="E692" s="4" t="n"/>
    </row>
    <row r="693" ht="15.75" customHeight="1">
      <c r="B693" s="2" t="n"/>
      <c r="E693" s="4" t="n"/>
    </row>
    <row r="694" ht="15.75" customHeight="1">
      <c r="B694" s="2" t="n"/>
      <c r="E694" s="4" t="n"/>
    </row>
    <row r="695" ht="15.75" customHeight="1">
      <c r="B695" s="2" t="n"/>
      <c r="E695" s="4" t="n"/>
    </row>
    <row r="696" ht="15.75" customHeight="1">
      <c r="B696" s="2" t="n"/>
      <c r="E696" s="4" t="n"/>
    </row>
    <row r="697" ht="15.75" customHeight="1">
      <c r="B697" s="2" t="n"/>
      <c r="E697" s="4" t="n"/>
    </row>
    <row r="698" ht="15.75" customHeight="1">
      <c r="B698" s="2" t="n"/>
      <c r="E698" s="4" t="n"/>
    </row>
    <row r="699" ht="15.75" customHeight="1">
      <c r="B699" s="2" t="n"/>
      <c r="E699" s="4" t="n"/>
    </row>
    <row r="700" ht="15.75" customHeight="1">
      <c r="B700" s="2" t="n"/>
      <c r="E700" s="4" t="n"/>
    </row>
    <row r="701" ht="15.75" customHeight="1">
      <c r="B701" s="2" t="n"/>
      <c r="E701" s="4" t="n"/>
    </row>
    <row r="702" ht="15.75" customHeight="1">
      <c r="B702" s="2" t="n"/>
      <c r="E702" s="4" t="n"/>
    </row>
    <row r="703" ht="15.75" customHeight="1">
      <c r="B703" s="2" t="n"/>
      <c r="E703" s="4" t="n"/>
    </row>
    <row r="704" ht="15.75" customHeight="1">
      <c r="B704" s="2" t="n"/>
      <c r="E704" s="4" t="n"/>
    </row>
    <row r="705" ht="15.75" customHeight="1">
      <c r="B705" s="2" t="n"/>
      <c r="E705" s="4" t="n"/>
    </row>
    <row r="706" ht="15.75" customHeight="1">
      <c r="B706" s="2" t="n"/>
      <c r="E706" s="4" t="n"/>
    </row>
    <row r="707" ht="15.75" customHeight="1">
      <c r="B707" s="2" t="n"/>
      <c r="E707" s="4" t="n"/>
    </row>
    <row r="708" ht="15.75" customHeight="1">
      <c r="B708" s="2" t="n"/>
      <c r="E708" s="4" t="n"/>
    </row>
    <row r="709" ht="15.75" customHeight="1">
      <c r="B709" s="2" t="n"/>
      <c r="E709" s="4" t="n"/>
    </row>
    <row r="710" ht="15.75" customHeight="1">
      <c r="B710" s="2" t="n"/>
      <c r="E710" s="4" t="n"/>
    </row>
    <row r="711" ht="15.75" customHeight="1">
      <c r="B711" s="2" t="n"/>
      <c r="E711" s="4" t="n"/>
    </row>
    <row r="712" ht="15.75" customHeight="1">
      <c r="B712" s="2" t="n"/>
      <c r="E712" s="4" t="n"/>
    </row>
    <row r="713" ht="15.75" customHeight="1">
      <c r="B713" s="2" t="n"/>
      <c r="E713" s="4" t="n"/>
    </row>
    <row r="714" ht="15.75" customHeight="1">
      <c r="B714" s="2" t="n"/>
      <c r="E714" s="4" t="n"/>
    </row>
    <row r="715" ht="15.75" customHeight="1">
      <c r="B715" s="2" t="n"/>
      <c r="E715" s="4" t="n"/>
    </row>
    <row r="716" ht="15.75" customHeight="1">
      <c r="B716" s="2" t="n"/>
      <c r="E716" s="4" t="n"/>
    </row>
    <row r="717" ht="15.75" customHeight="1">
      <c r="B717" s="2" t="n"/>
      <c r="E717" s="4" t="n"/>
    </row>
    <row r="718" ht="15.75" customHeight="1">
      <c r="B718" s="2" t="n"/>
      <c r="E718" s="4" t="n"/>
    </row>
    <row r="719" ht="15.75" customHeight="1">
      <c r="B719" s="2" t="n"/>
      <c r="E719" s="4" t="n"/>
    </row>
    <row r="720" ht="15.75" customHeight="1">
      <c r="B720" s="2" t="n"/>
      <c r="E720" s="4" t="n"/>
    </row>
    <row r="721" ht="15.75" customHeight="1">
      <c r="B721" s="2" t="n"/>
      <c r="E721" s="4" t="n"/>
    </row>
    <row r="722" ht="15.75" customHeight="1">
      <c r="B722" s="2" t="n"/>
      <c r="E722" s="4" t="n"/>
    </row>
    <row r="723" ht="15.75" customHeight="1">
      <c r="B723" s="2" t="n"/>
      <c r="E723" s="4" t="n"/>
    </row>
    <row r="724" ht="15.75" customHeight="1">
      <c r="B724" s="2" t="n"/>
      <c r="E724" s="4" t="n"/>
    </row>
    <row r="725" ht="15.75" customHeight="1">
      <c r="B725" s="2" t="n"/>
      <c r="E725" s="4" t="n"/>
    </row>
    <row r="726" ht="15.75" customHeight="1">
      <c r="B726" s="2" t="n"/>
      <c r="E726" s="4" t="n"/>
    </row>
    <row r="727" ht="15.75" customHeight="1">
      <c r="B727" s="2" t="n"/>
      <c r="E727" s="4" t="n"/>
    </row>
    <row r="728" ht="15.75" customHeight="1">
      <c r="B728" s="2" t="n"/>
      <c r="E728" s="4" t="n"/>
    </row>
    <row r="729" ht="15.75" customHeight="1">
      <c r="B729" s="2" t="n"/>
      <c r="E729" s="4" t="n"/>
    </row>
    <row r="730" ht="15.75" customHeight="1">
      <c r="B730" s="2" t="n"/>
      <c r="E730" s="4" t="n"/>
    </row>
    <row r="731" ht="15.75" customHeight="1">
      <c r="B731" s="2" t="n"/>
      <c r="E731" s="4" t="n"/>
    </row>
    <row r="732" ht="15.75" customHeight="1">
      <c r="B732" s="2" t="n"/>
      <c r="E732" s="4" t="n"/>
    </row>
    <row r="733" ht="15.75" customHeight="1">
      <c r="B733" s="2" t="n"/>
      <c r="E733" s="4" t="n"/>
    </row>
    <row r="734" ht="15.75" customHeight="1">
      <c r="B734" s="2" t="n"/>
      <c r="E734" s="4" t="n"/>
    </row>
    <row r="735" ht="15.75" customHeight="1">
      <c r="B735" s="2" t="n"/>
      <c r="E735" s="4" t="n"/>
    </row>
    <row r="736" ht="15.75" customHeight="1">
      <c r="B736" s="2" t="n"/>
      <c r="E736" s="4" t="n"/>
    </row>
    <row r="737" ht="15.75" customHeight="1">
      <c r="B737" s="2" t="n"/>
      <c r="E737" s="4" t="n"/>
    </row>
    <row r="738" ht="15.75" customHeight="1">
      <c r="B738" s="2" t="n"/>
      <c r="E738" s="4" t="n"/>
    </row>
    <row r="739" ht="15.75" customHeight="1">
      <c r="B739" s="2" t="n"/>
      <c r="E739" s="4" t="n"/>
    </row>
    <row r="740" ht="15.75" customHeight="1">
      <c r="B740" s="2" t="n"/>
      <c r="E740" s="4" t="n"/>
    </row>
    <row r="741" ht="15.75" customHeight="1">
      <c r="B741" s="2" t="n"/>
      <c r="E741" s="4" t="n"/>
    </row>
    <row r="742" ht="15.75" customHeight="1">
      <c r="B742" s="2" t="n"/>
      <c r="E742" s="4" t="n"/>
    </row>
    <row r="743" ht="15.75" customHeight="1">
      <c r="B743" s="2" t="n"/>
      <c r="E743" s="4" t="n"/>
    </row>
    <row r="744" ht="15.75" customHeight="1">
      <c r="B744" s="2" t="n"/>
      <c r="E744" s="4" t="n"/>
    </row>
    <row r="745" ht="15.75" customHeight="1">
      <c r="B745" s="2" t="n"/>
      <c r="E745" s="4" t="n"/>
    </row>
    <row r="746" ht="15.75" customHeight="1">
      <c r="B746" s="2" t="n"/>
      <c r="E746" s="4" t="n"/>
    </row>
    <row r="747" ht="15.75" customHeight="1">
      <c r="B747" s="2" t="n"/>
      <c r="E747" s="4" t="n"/>
    </row>
    <row r="748" ht="15.75" customHeight="1">
      <c r="B748" s="2" t="n"/>
      <c r="E748" s="4" t="n"/>
    </row>
    <row r="749" ht="15.75" customHeight="1">
      <c r="B749" s="2" t="n"/>
      <c r="E749" s="4" t="n"/>
    </row>
    <row r="750" ht="15.75" customHeight="1">
      <c r="B750" s="2" t="n"/>
      <c r="E750" s="4" t="n"/>
    </row>
    <row r="751" ht="15.75" customHeight="1">
      <c r="B751" s="2" t="n"/>
      <c r="E751" s="4" t="n"/>
    </row>
    <row r="752" ht="15.75" customHeight="1">
      <c r="B752" s="2" t="n"/>
      <c r="E752" s="4" t="n"/>
    </row>
    <row r="753" ht="15.75" customHeight="1">
      <c r="B753" s="2" t="n"/>
      <c r="E753" s="4" t="n"/>
    </row>
    <row r="754" ht="15.75" customHeight="1">
      <c r="B754" s="2" t="n"/>
      <c r="E754" s="4" t="n"/>
    </row>
    <row r="755" ht="15.75" customHeight="1">
      <c r="B755" s="2" t="n"/>
      <c r="E755" s="4" t="n"/>
    </row>
    <row r="756" ht="15.75" customHeight="1">
      <c r="B756" s="2" t="n"/>
      <c r="E756" s="4" t="n"/>
    </row>
    <row r="757" ht="15.75" customHeight="1">
      <c r="B757" s="2" t="n"/>
      <c r="E757" s="4" t="n"/>
    </row>
    <row r="758" ht="15.75" customHeight="1">
      <c r="B758" s="2" t="n"/>
      <c r="E758" s="4" t="n"/>
    </row>
    <row r="759" ht="15.75" customHeight="1">
      <c r="B759" s="2" t="n"/>
      <c r="E759" s="4" t="n"/>
    </row>
    <row r="760" ht="15.75" customHeight="1">
      <c r="B760" s="2" t="n"/>
      <c r="E760" s="4" t="n"/>
    </row>
    <row r="761" ht="15.75" customHeight="1">
      <c r="B761" s="2" t="n"/>
      <c r="E761" s="4" t="n"/>
    </row>
    <row r="762" ht="15.75" customHeight="1">
      <c r="B762" s="2" t="n"/>
      <c r="E762" s="4" t="n"/>
    </row>
    <row r="763" ht="15.75" customHeight="1">
      <c r="B763" s="2" t="n"/>
      <c r="E763" s="4" t="n"/>
    </row>
    <row r="764" ht="15.75" customHeight="1">
      <c r="B764" s="2" t="n"/>
      <c r="E764" s="4" t="n"/>
    </row>
    <row r="765" ht="15.75" customHeight="1">
      <c r="B765" s="2" t="n"/>
      <c r="E765" s="4" t="n"/>
    </row>
    <row r="766" ht="15.75" customHeight="1">
      <c r="B766" s="2" t="n"/>
      <c r="E766" s="4" t="n"/>
    </row>
    <row r="767" ht="15.75" customHeight="1">
      <c r="B767" s="2" t="n"/>
      <c r="E767" s="4" t="n"/>
    </row>
    <row r="768" ht="15.75" customHeight="1">
      <c r="B768" s="2" t="n"/>
      <c r="E768" s="4" t="n"/>
    </row>
    <row r="769" ht="15.75" customHeight="1">
      <c r="B769" s="2" t="n"/>
      <c r="E769" s="4" t="n"/>
    </row>
    <row r="770" ht="15.75" customHeight="1">
      <c r="B770" s="2" t="n"/>
      <c r="E770" s="4" t="n"/>
    </row>
    <row r="771" ht="15.75" customHeight="1">
      <c r="B771" s="2" t="n"/>
      <c r="E771" s="4" t="n"/>
    </row>
    <row r="772" ht="15.75" customHeight="1">
      <c r="B772" s="2" t="n"/>
      <c r="E772" s="4" t="n"/>
    </row>
    <row r="773" ht="15.75" customHeight="1">
      <c r="B773" s="2" t="n"/>
      <c r="E773" s="4" t="n"/>
    </row>
    <row r="774" ht="15.75" customHeight="1">
      <c r="B774" s="2" t="n"/>
      <c r="E774" s="4" t="n"/>
    </row>
    <row r="775" ht="15.75" customHeight="1">
      <c r="B775" s="2" t="n"/>
      <c r="E775" s="4" t="n"/>
    </row>
    <row r="776" ht="15.75" customHeight="1">
      <c r="B776" s="2" t="n"/>
      <c r="E776" s="4" t="n"/>
    </row>
    <row r="777" ht="15.75" customHeight="1">
      <c r="B777" s="2" t="n"/>
      <c r="E777" s="4" t="n"/>
    </row>
    <row r="778" ht="15.75" customHeight="1">
      <c r="B778" s="2" t="n"/>
      <c r="E778" s="4" t="n"/>
    </row>
    <row r="779" ht="15.75" customHeight="1">
      <c r="B779" s="2" t="n"/>
      <c r="E779" s="4" t="n"/>
    </row>
    <row r="780" ht="15.75" customHeight="1">
      <c r="B780" s="2" t="n"/>
      <c r="E780" s="4" t="n"/>
    </row>
    <row r="781" ht="15.75" customHeight="1">
      <c r="B781" s="2" t="n"/>
      <c r="E781" s="4" t="n"/>
    </row>
    <row r="782" ht="15.75" customHeight="1">
      <c r="B782" s="2" t="n"/>
      <c r="E782" s="4" t="n"/>
    </row>
    <row r="783" ht="15.75" customHeight="1">
      <c r="B783" s="2" t="n"/>
      <c r="E783" s="4" t="n"/>
    </row>
    <row r="784" ht="15.75" customHeight="1">
      <c r="B784" s="2" t="n"/>
      <c r="E784" s="4" t="n"/>
    </row>
    <row r="785" ht="15.75" customHeight="1">
      <c r="B785" s="2" t="n"/>
      <c r="E785" s="4" t="n"/>
    </row>
    <row r="786" ht="15.75" customHeight="1">
      <c r="B786" s="2" t="n"/>
      <c r="E786" s="4" t="n"/>
    </row>
    <row r="787" ht="15.75" customHeight="1">
      <c r="B787" s="2" t="n"/>
      <c r="E787" s="4" t="n"/>
    </row>
    <row r="788" ht="15.75" customHeight="1">
      <c r="B788" s="2" t="n"/>
      <c r="E788" s="4" t="n"/>
    </row>
    <row r="789" ht="15.75" customHeight="1">
      <c r="B789" s="2" t="n"/>
      <c r="E789" s="4" t="n"/>
    </row>
    <row r="790" ht="15.75" customHeight="1">
      <c r="B790" s="2" t="n"/>
      <c r="E790" s="4" t="n"/>
    </row>
    <row r="791" ht="15.75" customHeight="1">
      <c r="B791" s="2" t="n"/>
      <c r="E791" s="4" t="n"/>
    </row>
    <row r="792" ht="15.75" customHeight="1">
      <c r="B792" s="2" t="n"/>
      <c r="E792" s="4" t="n"/>
    </row>
    <row r="793" ht="15.75" customHeight="1">
      <c r="B793" s="2" t="n"/>
      <c r="E793" s="4" t="n"/>
    </row>
    <row r="794" ht="15.75" customHeight="1">
      <c r="B794" s="2" t="n"/>
      <c r="E794" s="4" t="n"/>
    </row>
    <row r="795" ht="15.75" customHeight="1">
      <c r="B795" s="2" t="n"/>
      <c r="E795" s="4" t="n"/>
    </row>
    <row r="796" ht="15.75" customHeight="1">
      <c r="B796" s="2" t="n"/>
      <c r="E796" s="4" t="n"/>
    </row>
    <row r="797" ht="15.75" customHeight="1">
      <c r="B797" s="2" t="n"/>
      <c r="E797" s="4" t="n"/>
    </row>
    <row r="798" ht="15.75" customHeight="1">
      <c r="B798" s="2" t="n"/>
      <c r="E798" s="4" t="n"/>
    </row>
    <row r="799" ht="15.75" customHeight="1">
      <c r="B799" s="2" t="n"/>
      <c r="E799" s="4" t="n"/>
    </row>
    <row r="800" ht="15.75" customHeight="1">
      <c r="B800" s="2" t="n"/>
      <c r="E800" s="4" t="n"/>
    </row>
    <row r="801" ht="15.75" customHeight="1">
      <c r="B801" s="2" t="n"/>
      <c r="E801" s="4" t="n"/>
    </row>
    <row r="802" ht="15.75" customHeight="1">
      <c r="B802" s="2" t="n"/>
      <c r="E802" s="4" t="n"/>
    </row>
    <row r="803" ht="15.75" customHeight="1">
      <c r="B803" s="2" t="n"/>
      <c r="E803" s="4" t="n"/>
    </row>
    <row r="804" ht="15.75" customHeight="1">
      <c r="B804" s="2" t="n"/>
      <c r="E804" s="4" t="n"/>
    </row>
    <row r="805" ht="15.75" customHeight="1">
      <c r="B805" s="2" t="n"/>
      <c r="E805" s="4" t="n"/>
    </row>
    <row r="806" ht="15.75" customHeight="1">
      <c r="B806" s="2" t="n"/>
      <c r="E806" s="4" t="n"/>
    </row>
    <row r="807" ht="15.75" customHeight="1">
      <c r="B807" s="2" t="n"/>
      <c r="E807" s="4" t="n"/>
    </row>
    <row r="808" ht="15.75" customHeight="1">
      <c r="B808" s="2" t="n"/>
      <c r="E808" s="4" t="n"/>
    </row>
    <row r="809" ht="15.75" customHeight="1">
      <c r="B809" s="2" t="n"/>
      <c r="E809" s="4" t="n"/>
    </row>
    <row r="810" ht="15.75" customHeight="1">
      <c r="B810" s="2" t="n"/>
      <c r="E810" s="4" t="n"/>
    </row>
    <row r="811" ht="15.75" customHeight="1">
      <c r="B811" s="2" t="n"/>
      <c r="E811" s="4" t="n"/>
    </row>
    <row r="812" ht="15.75" customHeight="1">
      <c r="B812" s="2" t="n"/>
      <c r="E812" s="4" t="n"/>
    </row>
    <row r="813" ht="15.75" customHeight="1">
      <c r="B813" s="2" t="n"/>
      <c r="E813" s="4" t="n"/>
    </row>
    <row r="814" ht="15.75" customHeight="1">
      <c r="B814" s="2" t="n"/>
      <c r="E814" s="4" t="n"/>
    </row>
    <row r="815" ht="15.75" customHeight="1">
      <c r="B815" s="2" t="n"/>
      <c r="E815" s="4" t="n"/>
    </row>
    <row r="816" ht="15.75" customHeight="1">
      <c r="B816" s="2" t="n"/>
      <c r="E816" s="4" t="n"/>
    </row>
    <row r="817" ht="15.75" customHeight="1">
      <c r="B817" s="2" t="n"/>
      <c r="E817" s="4" t="n"/>
    </row>
    <row r="818" ht="15.75" customHeight="1">
      <c r="B818" s="2" t="n"/>
      <c r="E818" s="4" t="n"/>
    </row>
    <row r="819" ht="15.75" customHeight="1">
      <c r="B819" s="2" t="n"/>
      <c r="E819" s="4" t="n"/>
    </row>
    <row r="820" ht="15.75" customHeight="1">
      <c r="B820" s="2" t="n"/>
      <c r="E820" s="4" t="n"/>
    </row>
    <row r="821" ht="15.75" customHeight="1">
      <c r="B821" s="2" t="n"/>
      <c r="E821" s="4" t="n"/>
    </row>
    <row r="822" ht="15.75" customHeight="1">
      <c r="B822" s="2" t="n"/>
      <c r="E822" s="4" t="n"/>
    </row>
    <row r="823" ht="15.75" customHeight="1">
      <c r="B823" s="2" t="n"/>
      <c r="E823" s="4" t="n"/>
    </row>
    <row r="824" ht="15.75" customHeight="1">
      <c r="B824" s="2" t="n"/>
      <c r="E824" s="4" t="n"/>
    </row>
    <row r="825" ht="15.75" customHeight="1">
      <c r="B825" s="2" t="n"/>
      <c r="E825" s="4" t="n"/>
    </row>
    <row r="826" ht="15.75" customHeight="1">
      <c r="B826" s="2" t="n"/>
      <c r="E826" s="4" t="n"/>
    </row>
    <row r="827" ht="15.75" customHeight="1">
      <c r="B827" s="2" t="n"/>
      <c r="E827" s="4" t="n"/>
    </row>
    <row r="828" ht="15.75" customHeight="1">
      <c r="B828" s="2" t="n"/>
      <c r="E828" s="4" t="n"/>
    </row>
    <row r="829" ht="15.75" customHeight="1">
      <c r="B829" s="2" t="n"/>
      <c r="E829" s="4" t="n"/>
    </row>
    <row r="830" ht="15.75" customHeight="1">
      <c r="B830" s="2" t="n"/>
      <c r="E830" s="4" t="n"/>
    </row>
    <row r="831" ht="15.75" customHeight="1">
      <c r="B831" s="2" t="n"/>
      <c r="E831" s="4" t="n"/>
    </row>
    <row r="832" ht="15.75" customHeight="1">
      <c r="B832" s="2" t="n"/>
      <c r="E832" s="4" t="n"/>
    </row>
    <row r="833" ht="15.75" customHeight="1">
      <c r="B833" s="2" t="n"/>
      <c r="E833" s="4" t="n"/>
    </row>
    <row r="834" ht="15.75" customHeight="1">
      <c r="B834" s="2" t="n"/>
      <c r="E834" s="4" t="n"/>
    </row>
    <row r="835" ht="15.75" customHeight="1">
      <c r="B835" s="2" t="n"/>
      <c r="E835" s="4" t="n"/>
    </row>
    <row r="836" ht="15.75" customHeight="1">
      <c r="B836" s="2" t="n"/>
      <c r="E836" s="4" t="n"/>
    </row>
    <row r="837" ht="15.75" customHeight="1">
      <c r="B837" s="2" t="n"/>
      <c r="E837" s="4" t="n"/>
    </row>
    <row r="838" ht="15.75" customHeight="1">
      <c r="B838" s="2" t="n"/>
      <c r="E838" s="4" t="n"/>
    </row>
    <row r="839" ht="15.75" customHeight="1">
      <c r="B839" s="2" t="n"/>
      <c r="E839" s="4" t="n"/>
    </row>
    <row r="840" ht="15.75" customHeight="1">
      <c r="B840" s="2" t="n"/>
      <c r="E840" s="4" t="n"/>
    </row>
    <row r="841" ht="15.75" customHeight="1">
      <c r="B841" s="2" t="n"/>
      <c r="E841" s="4" t="n"/>
    </row>
    <row r="842" ht="15.75" customHeight="1">
      <c r="B842" s="2" t="n"/>
      <c r="E842" s="4" t="n"/>
    </row>
    <row r="843" ht="15.75" customHeight="1">
      <c r="B843" s="2" t="n"/>
      <c r="E843" s="4" t="n"/>
    </row>
    <row r="844" ht="15.75" customHeight="1">
      <c r="B844" s="2" t="n"/>
      <c r="E844" s="4" t="n"/>
    </row>
    <row r="845" ht="15.75" customHeight="1">
      <c r="B845" s="2" t="n"/>
      <c r="E845" s="4" t="n"/>
    </row>
    <row r="846" ht="15.75" customHeight="1">
      <c r="B846" s="2" t="n"/>
      <c r="E846" s="4" t="n"/>
    </row>
    <row r="847" ht="15.75" customHeight="1">
      <c r="B847" s="2" t="n"/>
      <c r="E847" s="4" t="n"/>
    </row>
    <row r="848" ht="15.75" customHeight="1">
      <c r="B848" s="2" t="n"/>
      <c r="E848" s="4" t="n"/>
    </row>
    <row r="849" ht="15.75" customHeight="1">
      <c r="B849" s="2" t="n"/>
      <c r="E849" s="4" t="n"/>
    </row>
    <row r="850" ht="15.75" customHeight="1">
      <c r="B850" s="2" t="n"/>
      <c r="E850" s="4" t="n"/>
    </row>
    <row r="851" ht="15.75" customHeight="1">
      <c r="B851" s="2" t="n"/>
      <c r="E851" s="4" t="n"/>
    </row>
    <row r="852" ht="15.75" customHeight="1">
      <c r="B852" s="2" t="n"/>
      <c r="E852" s="4" t="n"/>
    </row>
    <row r="853" ht="15.75" customHeight="1">
      <c r="B853" s="2" t="n"/>
      <c r="E853" s="4" t="n"/>
    </row>
    <row r="854" ht="15.75" customHeight="1">
      <c r="B854" s="2" t="n"/>
      <c r="E854" s="4" t="n"/>
    </row>
    <row r="855" ht="15.75" customHeight="1">
      <c r="B855" s="2" t="n"/>
      <c r="E855" s="4" t="n"/>
    </row>
    <row r="856" ht="15.75" customHeight="1">
      <c r="B856" s="2" t="n"/>
      <c r="E856" s="4" t="n"/>
    </row>
    <row r="857" ht="15.75" customHeight="1">
      <c r="B857" s="2" t="n"/>
      <c r="E857" s="4" t="n"/>
    </row>
    <row r="858" ht="15.75" customHeight="1">
      <c r="B858" s="2" t="n"/>
      <c r="E858" s="4" t="n"/>
    </row>
    <row r="859" ht="15.75" customHeight="1">
      <c r="B859" s="2" t="n"/>
      <c r="E859" s="4" t="n"/>
    </row>
    <row r="860" ht="15.75" customHeight="1">
      <c r="B860" s="2" t="n"/>
      <c r="E860" s="4" t="n"/>
    </row>
    <row r="861" ht="15.75" customHeight="1">
      <c r="B861" s="2" t="n"/>
      <c r="E861" s="4" t="n"/>
    </row>
    <row r="862" ht="15.75" customHeight="1">
      <c r="B862" s="2" t="n"/>
      <c r="E862" s="4" t="n"/>
    </row>
    <row r="863" ht="15.75" customHeight="1">
      <c r="B863" s="2" t="n"/>
      <c r="E863" s="4" t="n"/>
    </row>
    <row r="864" ht="15.75" customHeight="1">
      <c r="B864" s="2" t="n"/>
      <c r="E864" s="4" t="n"/>
    </row>
    <row r="865" ht="15.75" customHeight="1">
      <c r="B865" s="2" t="n"/>
      <c r="E865" s="4" t="n"/>
    </row>
    <row r="866" ht="15.75" customHeight="1">
      <c r="B866" s="2" t="n"/>
      <c r="E866" s="4" t="n"/>
    </row>
    <row r="867" ht="15.75" customHeight="1">
      <c r="B867" s="2" t="n"/>
      <c r="E867" s="4" t="n"/>
    </row>
    <row r="868" ht="15.75" customHeight="1">
      <c r="B868" s="2" t="n"/>
      <c r="E868" s="4" t="n"/>
    </row>
    <row r="869" ht="15.75" customHeight="1">
      <c r="B869" s="2" t="n"/>
      <c r="E869" s="4" t="n"/>
    </row>
    <row r="870" ht="15.75" customHeight="1">
      <c r="B870" s="2" t="n"/>
      <c r="E870" s="4" t="n"/>
    </row>
    <row r="871" ht="15.75" customHeight="1">
      <c r="B871" s="2" t="n"/>
      <c r="E871" s="4" t="n"/>
    </row>
    <row r="872" ht="15.75" customHeight="1">
      <c r="B872" s="2" t="n"/>
      <c r="E872" s="4" t="n"/>
    </row>
    <row r="873" ht="15.75" customHeight="1">
      <c r="B873" s="2" t="n"/>
      <c r="E873" s="4" t="n"/>
    </row>
    <row r="874" ht="15.75" customHeight="1">
      <c r="B874" s="2" t="n"/>
      <c r="E874" s="4" t="n"/>
    </row>
    <row r="875" ht="15.75" customHeight="1">
      <c r="B875" s="2" t="n"/>
      <c r="E875" s="4" t="n"/>
    </row>
    <row r="876" ht="15.75" customHeight="1">
      <c r="B876" s="2" t="n"/>
      <c r="E876" s="4" t="n"/>
    </row>
    <row r="877" ht="15.75" customHeight="1">
      <c r="B877" s="2" t="n"/>
      <c r="E877" s="4" t="n"/>
    </row>
    <row r="878" ht="15.75" customHeight="1">
      <c r="B878" s="2" t="n"/>
      <c r="E878" s="4" t="n"/>
    </row>
    <row r="879" ht="15.75" customHeight="1">
      <c r="B879" s="2" t="n"/>
      <c r="E879" s="4" t="n"/>
    </row>
    <row r="880" ht="15.75" customHeight="1">
      <c r="B880" s="2" t="n"/>
      <c r="E880" s="4" t="n"/>
    </row>
    <row r="881" ht="15.75" customHeight="1">
      <c r="B881" s="2" t="n"/>
      <c r="E881" s="4" t="n"/>
    </row>
    <row r="882" ht="15.75" customHeight="1">
      <c r="B882" s="2" t="n"/>
      <c r="E882" s="4" t="n"/>
    </row>
    <row r="883" ht="15.75" customHeight="1">
      <c r="B883" s="2" t="n"/>
      <c r="E883" s="4" t="n"/>
    </row>
    <row r="884" ht="15.75" customHeight="1">
      <c r="B884" s="2" t="n"/>
      <c r="E884" s="4" t="n"/>
    </row>
    <row r="885" ht="15.75" customHeight="1">
      <c r="B885" s="2" t="n"/>
      <c r="E885" s="4" t="n"/>
    </row>
    <row r="886" ht="15.75" customHeight="1">
      <c r="B886" s="2" t="n"/>
      <c r="E886" s="4" t="n"/>
    </row>
    <row r="887" ht="15.75" customHeight="1">
      <c r="B887" s="2" t="n"/>
      <c r="E887" s="4" t="n"/>
    </row>
    <row r="888" ht="15.75" customHeight="1">
      <c r="B888" s="2" t="n"/>
      <c r="E888" s="4" t="n"/>
    </row>
    <row r="889" ht="15.75" customHeight="1">
      <c r="B889" s="2" t="n"/>
      <c r="E889" s="4" t="n"/>
    </row>
    <row r="890" ht="15.75" customHeight="1">
      <c r="B890" s="2" t="n"/>
      <c r="E890" s="4" t="n"/>
    </row>
    <row r="891" ht="15.75" customHeight="1">
      <c r="B891" s="2" t="n"/>
      <c r="E891" s="4" t="n"/>
    </row>
    <row r="892" ht="15.75" customHeight="1">
      <c r="B892" s="2" t="n"/>
      <c r="E892" s="4" t="n"/>
    </row>
    <row r="893" ht="15.75" customHeight="1">
      <c r="B893" s="2" t="n"/>
      <c r="E893" s="4" t="n"/>
    </row>
    <row r="894" ht="15.75" customHeight="1">
      <c r="B894" s="2" t="n"/>
      <c r="E894" s="4" t="n"/>
    </row>
    <row r="895" ht="15.75" customHeight="1">
      <c r="B895" s="2" t="n"/>
      <c r="E895" s="4" t="n"/>
    </row>
    <row r="896" ht="15.75" customHeight="1">
      <c r="B896" s="2" t="n"/>
      <c r="E896" s="4" t="n"/>
    </row>
    <row r="897" ht="15.75" customHeight="1">
      <c r="B897" s="2" t="n"/>
      <c r="E897" s="4" t="n"/>
    </row>
    <row r="898" ht="15.75" customHeight="1">
      <c r="B898" s="2" t="n"/>
      <c r="E898" s="4" t="n"/>
    </row>
    <row r="899" ht="15.75" customHeight="1">
      <c r="B899" s="2" t="n"/>
      <c r="E899" s="4" t="n"/>
    </row>
    <row r="900" ht="15.75" customHeight="1">
      <c r="B900" s="2" t="n"/>
      <c r="E900" s="4" t="n"/>
    </row>
    <row r="901" ht="15.75" customHeight="1">
      <c r="B901" s="2" t="n"/>
      <c r="E901" s="4" t="n"/>
    </row>
    <row r="902" ht="15.75" customHeight="1">
      <c r="B902" s="2" t="n"/>
      <c r="E902" s="4" t="n"/>
    </row>
    <row r="903" ht="15.75" customHeight="1">
      <c r="B903" s="2" t="n"/>
      <c r="E903" s="4" t="n"/>
    </row>
    <row r="904" ht="15.75" customHeight="1">
      <c r="B904" s="2" t="n"/>
      <c r="E904" s="4" t="n"/>
    </row>
    <row r="905" ht="15.75" customHeight="1">
      <c r="B905" s="2" t="n"/>
      <c r="E905" s="4" t="n"/>
    </row>
    <row r="906" ht="15.75" customHeight="1">
      <c r="B906" s="2" t="n"/>
      <c r="E906" s="4" t="n"/>
    </row>
    <row r="907" ht="15.75" customHeight="1">
      <c r="B907" s="2" t="n"/>
      <c r="E907" s="4" t="n"/>
    </row>
    <row r="908" ht="15.75" customHeight="1">
      <c r="B908" s="2" t="n"/>
      <c r="E908" s="4" t="n"/>
    </row>
    <row r="909" ht="15.75" customHeight="1">
      <c r="B909" s="2" t="n"/>
      <c r="E909" s="4" t="n"/>
    </row>
    <row r="910" ht="15.75" customHeight="1">
      <c r="B910" s="2" t="n"/>
      <c r="E910" s="4" t="n"/>
    </row>
    <row r="911" ht="15.75" customHeight="1">
      <c r="B911" s="2" t="n"/>
      <c r="E911" s="4" t="n"/>
    </row>
    <row r="912" ht="15.75" customHeight="1">
      <c r="B912" s="2" t="n"/>
      <c r="E912" s="4" t="n"/>
    </row>
    <row r="913" ht="15.75" customHeight="1">
      <c r="B913" s="2" t="n"/>
      <c r="E913" s="4" t="n"/>
    </row>
    <row r="914" ht="15.75" customHeight="1">
      <c r="B914" s="2" t="n"/>
      <c r="E914" s="4" t="n"/>
    </row>
    <row r="915" ht="15.75" customHeight="1">
      <c r="B915" s="2" t="n"/>
      <c r="E915" s="4" t="n"/>
    </row>
    <row r="916" ht="15.75" customHeight="1">
      <c r="B916" s="2" t="n"/>
      <c r="E916" s="4" t="n"/>
    </row>
    <row r="917" ht="15.75" customHeight="1">
      <c r="B917" s="2" t="n"/>
      <c r="E917" s="4" t="n"/>
    </row>
    <row r="918" ht="15.75" customHeight="1">
      <c r="B918" s="2" t="n"/>
      <c r="E918" s="4" t="n"/>
    </row>
    <row r="919" ht="15.75" customHeight="1">
      <c r="B919" s="2" t="n"/>
      <c r="E919" s="4" t="n"/>
    </row>
    <row r="920" ht="15.75" customHeight="1">
      <c r="B920" s="2" t="n"/>
      <c r="E920" s="4" t="n"/>
    </row>
    <row r="921" ht="15.75" customHeight="1">
      <c r="B921" s="2" t="n"/>
      <c r="E921" s="4" t="n"/>
    </row>
    <row r="922" ht="15.75" customHeight="1">
      <c r="B922" s="2" t="n"/>
      <c r="E922" s="4" t="n"/>
    </row>
    <row r="923" ht="15.75" customHeight="1">
      <c r="B923" s="2" t="n"/>
      <c r="E923" s="4" t="n"/>
    </row>
    <row r="924" ht="15.75" customHeight="1">
      <c r="B924" s="2" t="n"/>
      <c r="E924" s="4" t="n"/>
    </row>
    <row r="925" ht="15.75" customHeight="1">
      <c r="B925" s="2" t="n"/>
      <c r="E925" s="4" t="n"/>
    </row>
    <row r="926" ht="15.75" customHeight="1">
      <c r="B926" s="2" t="n"/>
      <c r="E926" s="4" t="n"/>
    </row>
    <row r="927" ht="15.75" customHeight="1">
      <c r="B927" s="2" t="n"/>
      <c r="E927" s="4" t="n"/>
    </row>
    <row r="928" ht="15.75" customHeight="1">
      <c r="B928" s="2" t="n"/>
      <c r="E928" s="4" t="n"/>
    </row>
    <row r="929" ht="15.75" customHeight="1">
      <c r="B929" s="2" t="n"/>
      <c r="E929" s="4" t="n"/>
    </row>
    <row r="930" ht="15.75" customHeight="1">
      <c r="B930" s="2" t="n"/>
      <c r="E930" s="4" t="n"/>
    </row>
    <row r="931" ht="15.75" customHeight="1">
      <c r="B931" s="2" t="n"/>
      <c r="E931" s="4" t="n"/>
    </row>
    <row r="932" ht="15.75" customHeight="1">
      <c r="B932" s="2" t="n"/>
      <c r="E932" s="4" t="n"/>
    </row>
    <row r="933" ht="15.75" customHeight="1">
      <c r="B933" s="2" t="n"/>
      <c r="E933" s="4" t="n"/>
    </row>
    <row r="934" ht="15.75" customHeight="1">
      <c r="B934" s="2" t="n"/>
      <c r="E934" s="4" t="n"/>
    </row>
    <row r="935" ht="15.75" customHeight="1">
      <c r="B935" s="2" t="n"/>
      <c r="E935" s="4" t="n"/>
    </row>
    <row r="936" ht="15.75" customHeight="1">
      <c r="B936" s="2" t="n"/>
      <c r="E936" s="4" t="n"/>
    </row>
    <row r="937" ht="15.75" customHeight="1">
      <c r="B937" s="2" t="n"/>
      <c r="E937" s="4" t="n"/>
    </row>
    <row r="938" ht="15.75" customHeight="1">
      <c r="B938" s="2" t="n"/>
      <c r="E938" s="4" t="n"/>
    </row>
    <row r="939" ht="15.75" customHeight="1">
      <c r="B939" s="2" t="n"/>
      <c r="E939" s="4" t="n"/>
    </row>
    <row r="940" ht="15.75" customHeight="1">
      <c r="B940" s="2" t="n"/>
      <c r="E940" s="4" t="n"/>
    </row>
    <row r="941" ht="15.75" customHeight="1">
      <c r="B941" s="2" t="n"/>
      <c r="E941" s="4" t="n"/>
    </row>
    <row r="942" ht="15.75" customHeight="1">
      <c r="B942" s="2" t="n"/>
      <c r="E942" s="4" t="n"/>
    </row>
    <row r="943" ht="15.75" customHeight="1">
      <c r="B943" s="2" t="n"/>
      <c r="E943" s="4" t="n"/>
    </row>
    <row r="944" ht="15.75" customHeight="1">
      <c r="B944" s="2" t="n"/>
      <c r="E944" s="4" t="n"/>
    </row>
    <row r="945" ht="15.75" customHeight="1">
      <c r="B945" s="2" t="n"/>
      <c r="E945" s="4" t="n"/>
    </row>
    <row r="946" ht="15.75" customHeight="1">
      <c r="B946" s="2" t="n"/>
      <c r="E946" s="4" t="n"/>
    </row>
    <row r="947" ht="15.75" customHeight="1">
      <c r="B947" s="2" t="n"/>
      <c r="E947" s="4" t="n"/>
    </row>
    <row r="948" ht="15.75" customHeight="1">
      <c r="B948" s="2" t="n"/>
      <c r="E948" s="4" t="n"/>
    </row>
    <row r="949" ht="15.75" customHeight="1">
      <c r="B949" s="2" t="n"/>
      <c r="E949" s="4" t="n"/>
    </row>
    <row r="950" ht="15.75" customHeight="1">
      <c r="B950" s="2" t="n"/>
      <c r="E950" s="4" t="n"/>
    </row>
    <row r="951" ht="15.75" customHeight="1">
      <c r="B951" s="2" t="n"/>
      <c r="E951" s="4" t="n"/>
    </row>
    <row r="952" ht="15.75" customHeight="1">
      <c r="B952" s="2" t="n"/>
      <c r="E952" s="4" t="n"/>
    </row>
    <row r="953" ht="15.75" customHeight="1">
      <c r="B953" s="2" t="n"/>
      <c r="E953" s="4" t="n"/>
    </row>
    <row r="954" ht="15.75" customHeight="1">
      <c r="B954" s="2" t="n"/>
      <c r="E954" s="4" t="n"/>
    </row>
    <row r="955" ht="15.75" customHeight="1">
      <c r="B955" s="2" t="n"/>
      <c r="E955" s="4" t="n"/>
    </row>
    <row r="956" ht="15.75" customHeight="1">
      <c r="B956" s="2" t="n"/>
      <c r="E956" s="4" t="n"/>
    </row>
    <row r="957" ht="15.75" customHeight="1">
      <c r="B957" s="2" t="n"/>
      <c r="E957" s="4" t="n"/>
    </row>
    <row r="958" ht="15.75" customHeight="1">
      <c r="B958" s="2" t="n"/>
      <c r="E958" s="4" t="n"/>
    </row>
    <row r="959" ht="15.75" customHeight="1">
      <c r="B959" s="2" t="n"/>
      <c r="E959" s="4" t="n"/>
    </row>
    <row r="960" ht="15.75" customHeight="1">
      <c r="B960" s="2" t="n"/>
      <c r="E960" s="4" t="n"/>
    </row>
    <row r="961" ht="15.75" customHeight="1">
      <c r="B961" s="2" t="n"/>
      <c r="E961" s="4" t="n"/>
    </row>
    <row r="962" ht="15.75" customHeight="1">
      <c r="B962" s="2" t="n"/>
      <c r="E962" s="4" t="n"/>
    </row>
    <row r="963" ht="15.75" customHeight="1">
      <c r="B963" s="2" t="n"/>
      <c r="E963" s="4" t="n"/>
    </row>
    <row r="964" ht="15.75" customHeight="1">
      <c r="B964" s="2" t="n"/>
      <c r="E964" s="4" t="n"/>
    </row>
    <row r="965" ht="15.75" customHeight="1">
      <c r="B965" s="2" t="n"/>
      <c r="E965" s="4" t="n"/>
    </row>
    <row r="966" ht="15.75" customHeight="1">
      <c r="B966" s="2" t="n"/>
      <c r="E966" s="4" t="n"/>
    </row>
    <row r="967" ht="15.75" customHeight="1">
      <c r="B967" s="2" t="n"/>
      <c r="E967" s="4" t="n"/>
    </row>
    <row r="968" ht="15.75" customHeight="1">
      <c r="B968" s="2" t="n"/>
      <c r="E968" s="4" t="n"/>
    </row>
    <row r="969" ht="15.75" customHeight="1">
      <c r="B969" s="2" t="n"/>
      <c r="E969" s="4" t="n"/>
    </row>
    <row r="970" ht="15.75" customHeight="1">
      <c r="B970" s="2" t="n"/>
      <c r="E970" s="4" t="n"/>
    </row>
    <row r="971" ht="15.75" customHeight="1">
      <c r="B971" s="2" t="n"/>
      <c r="E971" s="4" t="n"/>
    </row>
    <row r="972" ht="15.75" customHeight="1">
      <c r="B972" s="2" t="n"/>
      <c r="E972" s="4" t="n"/>
    </row>
    <row r="973" ht="15.75" customHeight="1">
      <c r="B973" s="2" t="n"/>
      <c r="E973" s="4" t="n"/>
    </row>
    <row r="974" ht="15.75" customHeight="1">
      <c r="B974" s="2" t="n"/>
      <c r="E974" s="4" t="n"/>
    </row>
    <row r="975" ht="15.75" customHeight="1">
      <c r="B975" s="2" t="n"/>
      <c r="E975" s="4" t="n"/>
    </row>
    <row r="976" ht="15.75" customHeight="1">
      <c r="B976" s="2" t="n"/>
      <c r="E976" s="4" t="n"/>
    </row>
    <row r="977" ht="15.75" customHeight="1">
      <c r="B977" s="2" t="n"/>
      <c r="E977" s="4" t="n"/>
    </row>
    <row r="978" ht="15.75" customHeight="1">
      <c r="B978" s="2" t="n"/>
      <c r="E978" s="4" t="n"/>
    </row>
    <row r="979" ht="15.75" customHeight="1">
      <c r="B979" s="2" t="n"/>
      <c r="E979" s="4" t="n"/>
    </row>
    <row r="980" ht="15.75" customHeight="1">
      <c r="B980" s="2" t="n"/>
      <c r="E980" s="4" t="n"/>
    </row>
    <row r="981" ht="15.75" customHeight="1">
      <c r="B981" s="2" t="n"/>
      <c r="E981" s="4" t="n"/>
    </row>
    <row r="982" ht="15.75" customHeight="1">
      <c r="B982" s="2" t="n"/>
      <c r="E982" s="4" t="n"/>
    </row>
    <row r="983" ht="15.75" customHeight="1">
      <c r="B983" s="2" t="n"/>
      <c r="E983" s="4" t="n"/>
    </row>
    <row r="984" ht="15.75" customHeight="1">
      <c r="B984" s="2" t="n"/>
      <c r="E984" s="4" t="n"/>
    </row>
    <row r="985" ht="15.75" customHeight="1">
      <c r="B985" s="2" t="n"/>
      <c r="E985" s="4" t="n"/>
    </row>
    <row r="986" ht="15.75" customHeight="1">
      <c r="B986" s="2" t="n"/>
      <c r="E986" s="4" t="n"/>
    </row>
    <row r="987" ht="15.75" customHeight="1">
      <c r="B987" s="2" t="n"/>
      <c r="E987" s="4" t="n"/>
    </row>
    <row r="988" ht="15.75" customHeight="1">
      <c r="B988" s="2" t="n"/>
      <c r="E988" s="4" t="n"/>
    </row>
    <row r="989" ht="15.75" customHeight="1">
      <c r="B989" s="2" t="n"/>
      <c r="E989" s="4" t="n"/>
    </row>
    <row r="990" ht="15.75" customHeight="1">
      <c r="B990" s="2" t="n"/>
      <c r="E990" s="4" t="n"/>
    </row>
    <row r="991" ht="15.75" customHeight="1">
      <c r="B991" s="2" t="n"/>
      <c r="E991" s="4" t="n"/>
    </row>
    <row r="992" ht="15.75" customHeight="1">
      <c r="B992" s="2" t="n"/>
      <c r="E992" s="4" t="n"/>
    </row>
    <row r="993" ht="15.75" customHeight="1">
      <c r="B993" s="2" t="n"/>
      <c r="E993" s="4" t="n"/>
    </row>
    <row r="994" ht="15.75" customHeight="1">
      <c r="B994" s="2" t="n"/>
      <c r="E994" s="4" t="n"/>
    </row>
    <row r="995" ht="15.75" customHeight="1">
      <c r="B995" s="2" t="n"/>
      <c r="E995" s="4" t="n"/>
    </row>
  </sheetData>
  <pageMargins left="0.3149606299212598" right="0.3149606299212598" top="0.3543307086614174" bottom="0.3543307086614174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topLeftCell="A10" workbookViewId="0">
      <selection activeCell="J8" sqref="J8"/>
    </sheetView>
  </sheetViews>
  <sheetFormatPr baseColWidth="10" defaultColWidth="14.42578125" defaultRowHeight="15" customHeight="1"/>
  <cols>
    <col width="10.7109375" customWidth="1" min="1" max="1"/>
    <col width="11.140625" customWidth="1" min="2" max="2"/>
    <col width="17.7109375" customWidth="1" min="3" max="3"/>
    <col width="10.7109375" customWidth="1" min="4" max="4"/>
    <col width="29.85546875" customWidth="1" min="5" max="5"/>
    <col width="14.7109375" customWidth="1" min="6" max="6"/>
    <col width="23.140625" customWidth="1" min="7" max="7"/>
    <col width="10.7109375" customWidth="1" min="8" max="26"/>
  </cols>
  <sheetData>
    <row r="1" ht="23.25" customHeight="1">
      <c r="A1" s="196" t="inlineStr">
        <is>
          <t>LIQUIDACIÓ de l'IVA:</t>
        </is>
      </c>
    </row>
    <row r="2" ht="23.25" customHeight="1">
      <c r="A2" s="73" t="inlineStr">
        <is>
          <t>Factures Rebudes</t>
        </is>
      </c>
    </row>
    <row r="3">
      <c r="A3" s="74" t="inlineStr">
        <is>
          <t>BASES</t>
        </is>
      </c>
      <c r="B3" s="74" t="inlineStr">
        <is>
          <t>TIPUS IVA</t>
        </is>
      </c>
      <c r="C3" s="33" t="inlineStr">
        <is>
          <t>IVA SUPORTAT</t>
        </is>
      </c>
    </row>
    <row r="4">
      <c r="A4" s="34" t="n">
        <v>34610</v>
      </c>
      <c r="B4" s="34" t="n">
        <v>21</v>
      </c>
      <c r="C4" s="34" t="n">
        <v>7268.1</v>
      </c>
    </row>
    <row r="5">
      <c r="A5" s="34" t="n">
        <v>0</v>
      </c>
      <c r="B5" s="34" t="n">
        <v>10</v>
      </c>
      <c r="C5" s="34" t="n">
        <v>0</v>
      </c>
      <c r="E5" s="233" t="inlineStr">
        <is>
          <t>IVA REPERCUTIT  -  IVA SUPORTAT  =  IMPORT A LIQUIDAR</t>
        </is>
      </c>
      <c r="F5" s="234" t="n"/>
      <c r="G5" s="235" t="n"/>
    </row>
    <row r="6">
      <c r="A6" s="34" t="n">
        <v>0</v>
      </c>
      <c r="B6" s="34" t="n">
        <v>4</v>
      </c>
      <c r="C6" s="34" t="n">
        <v>0</v>
      </c>
      <c r="E6" s="236" t="inlineStr">
        <is>
          <t>IVA Fact Emeses  -  IVA Fact Rebudes  =  IMPORT A LIQUIDAR</t>
        </is>
      </c>
      <c r="F6" s="234" t="n"/>
      <c r="G6" s="235" t="n"/>
    </row>
    <row r="7">
      <c r="A7" s="35" t="n">
        <v>2059</v>
      </c>
      <c r="B7" s="36" t="n">
        <v>0</v>
      </c>
      <c r="C7" s="35" t="n">
        <v>0</v>
      </c>
      <c r="E7" s="45" t="n"/>
      <c r="F7" s="45" t="n"/>
    </row>
    <row r="8" ht="15.75" customHeight="1">
      <c r="A8" s="37" t="n"/>
      <c r="B8" s="38" t="n"/>
      <c r="C8" s="39">
        <f>SUM(C4:C7)</f>
        <v/>
      </c>
      <c r="E8" s="46" t="inlineStr">
        <is>
          <t>IVA REPERCUTIT:</t>
        </is>
      </c>
      <c r="F8" s="47">
        <f>C16</f>
        <v/>
      </c>
    </row>
    <row r="9">
      <c r="E9" s="46" t="inlineStr">
        <is>
          <t>IVA SUPORTAT:</t>
        </is>
      </c>
      <c r="F9" s="47">
        <f>C8</f>
        <v/>
      </c>
    </row>
    <row r="10" ht="23.25" customHeight="1">
      <c r="A10" s="1" t="inlineStr">
        <is>
          <t>Facturas Emeses</t>
        </is>
      </c>
      <c r="E10" s="45" t="n"/>
      <c r="F10" s="45" t="n"/>
    </row>
    <row r="11" ht="23.25" customHeight="1">
      <c r="A11" s="74" t="inlineStr">
        <is>
          <t>BASES</t>
        </is>
      </c>
      <c r="B11" s="74" t="inlineStr">
        <is>
          <t>TIPUS IVA</t>
        </is>
      </c>
      <c r="C11" s="33" t="inlineStr">
        <is>
          <t>IVA REPERCUTIT</t>
        </is>
      </c>
      <c r="E11" s="48" t="inlineStr">
        <is>
          <t>IMPORT A LIQUIDAR:</t>
        </is>
      </c>
      <c r="F11" s="49">
        <f>F8-F9</f>
        <v/>
      </c>
      <c r="G11" s="50" t="inlineStr">
        <is>
          <t>(A PAGAR)</t>
        </is>
      </c>
    </row>
    <row r="12">
      <c r="A12" s="34" t="n">
        <v>22030</v>
      </c>
      <c r="B12" s="34" t="n">
        <v>21</v>
      </c>
      <c r="C12" s="34" t="n">
        <v>4626.3</v>
      </c>
      <c r="E12" s="51" t="inlineStr">
        <is>
          <t xml:space="preserve"> *Si l'import fos negatiu, la liquidació resultant seria a RETORNAR o compensar</t>
        </is>
      </c>
      <c r="F12" s="45" t="n"/>
    </row>
    <row r="13">
      <c r="A13" s="34" t="n">
        <v>456</v>
      </c>
      <c r="B13" s="34" t="n">
        <v>10</v>
      </c>
      <c r="C13" s="34" t="n">
        <v>45.6</v>
      </c>
    </row>
    <row r="14">
      <c r="A14" s="34" t="n">
        <v>0</v>
      </c>
      <c r="B14" s="34" t="n">
        <v>4</v>
      </c>
      <c r="C14" s="34" t="n">
        <v>0</v>
      </c>
    </row>
    <row r="15">
      <c r="A15" s="35" t="n">
        <v>5876</v>
      </c>
      <c r="B15" s="36" t="n">
        <v>0</v>
      </c>
      <c r="C15" s="35" t="n">
        <v>0</v>
      </c>
      <c r="E15" s="70" t="inlineStr">
        <is>
          <t>Assentament:</t>
        </is>
      </c>
    </row>
    <row r="16" ht="15.75" customHeight="1">
      <c r="A16" s="37" t="n"/>
      <c r="B16" s="38" t="n"/>
      <c r="C16" s="39">
        <f>SUM(C12:C15)</f>
        <v/>
      </c>
      <c r="E16" s="61" t="n"/>
      <c r="F16" s="62" t="n"/>
      <c r="G16" s="63" t="n"/>
    </row>
    <row r="17" ht="15" customHeight="1">
      <c r="E17" s="64" t="n"/>
      <c r="F17" s="65" t="n"/>
      <c r="G17" s="66" t="n"/>
    </row>
    <row r="18" ht="15" customHeight="1">
      <c r="E18" s="64" t="n"/>
      <c r="F18" s="65" t="n"/>
      <c r="G18" s="66" t="n"/>
    </row>
    <row r="19" ht="15" customHeight="1">
      <c r="E19" s="67" t="n"/>
      <c r="F19" s="68" t="n"/>
      <c r="G19" s="69" t="n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E5:G5"/>
    <mergeCell ref="A1:G1"/>
    <mergeCell ref="E6:G6"/>
  </mergeCell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 codeName="Hoja7">
    <tabColor indexed="50"/>
    <outlinePr summaryBelow="1" summaryRight="1"/>
    <pageSetUpPr/>
  </sheetPr>
  <dimension ref="A1:AQ80"/>
  <sheetViews>
    <sheetView showGridLines="0" zoomScale="85" zoomScaleNormal="85" workbookViewId="0">
      <selection activeCell="AP17" sqref="AP17"/>
    </sheetView>
  </sheetViews>
  <sheetFormatPr baseColWidth="10" defaultRowHeight="12.75"/>
  <cols>
    <col width="2.42578125" customWidth="1" style="131" min="1" max="1"/>
    <col width="2.5703125" customWidth="1" style="131" min="2" max="6"/>
    <col width="2.5703125" customWidth="1" style="83" min="7" max="8"/>
    <col width="3.85546875" customWidth="1" style="83" min="9" max="9"/>
    <col width="2.5703125" customWidth="1" style="83" min="10" max="14"/>
    <col width="2.42578125" customWidth="1" style="83" min="15" max="15"/>
    <col width="0.85546875" customWidth="1" style="83" min="16" max="16"/>
    <col width="2.42578125" customWidth="1" style="83" min="17" max="17"/>
    <col width="1.85546875" customWidth="1" style="83" min="18" max="19"/>
    <col width="2.5703125" customWidth="1" style="83" min="20" max="21"/>
    <col width="1.85546875" customWidth="1" style="83" min="22" max="22"/>
    <col width="2.5703125" customWidth="1" style="83" min="23" max="23"/>
    <col width="0.5703125" customWidth="1" style="83" min="24" max="24"/>
    <col width="2.5703125" customWidth="1" style="83" min="25" max="26"/>
    <col width="3.5703125" customWidth="1" style="83" min="27" max="27"/>
    <col width="2.5703125" customWidth="1" style="83" min="28" max="31"/>
    <col width="1.85546875" customWidth="1" style="83" min="32" max="32"/>
    <col width="11.5703125" bestFit="1" customWidth="1" style="83" min="33" max="33"/>
    <col width="2.5703125" customWidth="1" style="83" min="34" max="37"/>
    <col width="1.85546875" customWidth="1" style="83" min="38" max="38"/>
    <col width="2.42578125" customWidth="1" style="83" min="39" max="39"/>
    <col width="0.85546875" customWidth="1" style="83" min="40" max="40"/>
    <col width="2.42578125" customWidth="1" style="83" min="41" max="41"/>
    <col width="33.140625" customWidth="1" style="131" min="42" max="42"/>
    <col width="48.42578125" customWidth="1" style="83" min="43" max="43"/>
    <col width="11.42578125" customWidth="1" style="83" min="44" max="16384"/>
  </cols>
  <sheetData>
    <row r="1" ht="10.5" customFormat="1" customHeight="1" s="83">
      <c r="A1" s="131" t="n"/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1" t="n"/>
      <c r="AM1" s="131" t="n"/>
      <c r="AN1" s="131" t="n"/>
      <c r="AO1" s="131" t="n"/>
      <c r="AP1" s="131" t="n"/>
      <c r="AQ1" s="177" t="n"/>
    </row>
    <row r="2" ht="20.25" customFormat="1" customHeight="1" s="83">
      <c r="A2" s="131" t="n"/>
      <c r="B2" s="183" t="inlineStr">
        <is>
          <t>IVA Modelo 303 (borrador)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82" t="n"/>
      <c r="AA2" s="171" t="inlineStr">
        <is>
          <t>Ejercicio</t>
        </is>
      </c>
      <c r="AB2" s="146" t="n">
        <v>2025</v>
      </c>
      <c r="AC2" s="146" t="n"/>
      <c r="AD2" s="146" t="n"/>
      <c r="AE2" s="237" t="n"/>
      <c r="AF2" s="238" t="n"/>
      <c r="AG2" s="239" t="n"/>
      <c r="AH2" s="171" t="inlineStr">
        <is>
          <t xml:space="preserve">    Período</t>
        </is>
      </c>
      <c r="AI2" s="171" t="inlineStr">
        <is>
          <t>1T</t>
        </is>
      </c>
      <c r="AJ2" s="146" t="n"/>
      <c r="AK2" s="146" t="n"/>
      <c r="AL2" s="146" t="n"/>
      <c r="AM2" s="237" t="n"/>
      <c r="AN2" s="238" t="n"/>
      <c r="AO2" s="239" t="n"/>
      <c r="AP2" s="131" t="n"/>
      <c r="AQ2" s="177" t="n"/>
    </row>
    <row r="3" ht="3" customFormat="1" customHeight="1" s="83">
      <c r="A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1" t="n"/>
      <c r="O3" s="131" t="n"/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46" t="n"/>
      <c r="AB3" s="137" t="n"/>
      <c r="AC3" s="137" t="n"/>
      <c r="AD3" s="137" t="n"/>
      <c r="AE3" s="240" t="n"/>
      <c r="AF3" s="241" t="n"/>
      <c r="AG3" s="242" t="n"/>
      <c r="AH3" s="137" t="n"/>
      <c r="AI3" s="146" t="n"/>
      <c r="AJ3" s="146" t="n"/>
      <c r="AK3" s="146" t="n"/>
      <c r="AL3" s="137" t="n"/>
      <c r="AM3" s="240" t="n"/>
      <c r="AN3" s="241" t="n"/>
      <c r="AO3" s="242" t="n"/>
      <c r="AP3" s="131" t="n"/>
      <c r="AQ3" s="177" t="n"/>
    </row>
    <row r="4" ht="12.95" customFormat="1" customHeight="1" s="83">
      <c r="A4" s="131" t="n"/>
      <c r="B4" s="131" t="inlineStr">
        <is>
          <t>NIF</t>
        </is>
      </c>
      <c r="C4" s="131" t="inlineStr">
        <is>
          <t>B43888888</t>
        </is>
      </c>
      <c r="D4" s="131" t="n"/>
      <c r="E4" s="131" t="n"/>
      <c r="F4" s="131" t="n"/>
      <c r="G4" s="131" t="n"/>
      <c r="H4" s="131" t="n"/>
      <c r="I4" s="131" t="n"/>
      <c r="J4" s="131" t="inlineStr">
        <is>
          <t>Apellidos y Nombre o Razón social</t>
        </is>
      </c>
      <c r="K4" s="131" t="inlineStr">
        <is>
          <t>Rhinomer, S.A.</t>
        </is>
      </c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1" t="n"/>
      <c r="W4" s="131" t="n"/>
      <c r="X4" s="131" t="n"/>
      <c r="Y4" s="131" t="n"/>
      <c r="Z4" s="131" t="n"/>
      <c r="AA4" s="131" t="n"/>
      <c r="AB4" s="131" t="n"/>
      <c r="AC4" s="131" t="n"/>
      <c r="AD4" s="131" t="n"/>
      <c r="AE4" s="131" t="n"/>
      <c r="AF4" s="131" t="n"/>
      <c r="AG4" s="131" t="n"/>
      <c r="AH4" s="131" t="n"/>
      <c r="AI4" s="131" t="n"/>
      <c r="AJ4" s="131" t="n"/>
      <c r="AK4" s="131" t="n"/>
      <c r="AL4" s="131" t="n"/>
      <c r="AN4" s="131" t="n"/>
      <c r="AO4" s="181">
        <f>VALUE(LEFT(AM2,1))</f>
        <v/>
      </c>
      <c r="AP4" s="131" t="n"/>
      <c r="AQ4" s="177" t="n"/>
    </row>
    <row r="5" ht="12.95" customFormat="1" customHeight="1" s="83">
      <c r="A5" s="131" t="n"/>
      <c r="B5" s="210" t="n"/>
      <c r="C5" s="243" t="n"/>
      <c r="D5" s="243" t="n"/>
      <c r="E5" s="243" t="n"/>
      <c r="F5" s="243" t="n"/>
      <c r="G5" s="243" t="n"/>
      <c r="H5" s="244" t="n"/>
      <c r="I5" s="83" t="n"/>
      <c r="J5" s="210" t="n"/>
      <c r="K5" s="243" t="n"/>
      <c r="L5" s="243" t="n"/>
      <c r="M5" s="243" t="n"/>
      <c r="N5" s="243" t="n"/>
      <c r="O5" s="243" t="n"/>
      <c r="P5" s="243" t="n"/>
      <c r="Q5" s="243" t="n"/>
      <c r="R5" s="243" t="n"/>
      <c r="S5" s="243" t="n"/>
      <c r="T5" s="243" t="n"/>
      <c r="U5" s="243" t="n"/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I5" s="243" t="n"/>
      <c r="AJ5" s="244" t="n"/>
      <c r="AK5" s="180" t="n"/>
      <c r="AL5" s="180" t="n"/>
      <c r="AM5" s="180" t="n"/>
      <c r="AN5" s="180" t="n"/>
      <c r="AO5" s="180" t="n"/>
      <c r="AP5" s="131" t="n"/>
      <c r="AQ5" s="177" t="n"/>
    </row>
    <row r="6" ht="12.95" customHeight="1">
      <c r="G6" s="131" t="n"/>
      <c r="H6" s="131" t="n"/>
      <c r="I6" s="131" t="n"/>
      <c r="J6" s="131" t="n"/>
      <c r="K6" s="131" t="n"/>
      <c r="L6" s="131" t="n"/>
      <c r="M6" s="131" t="n"/>
      <c r="N6" s="131" t="n"/>
      <c r="O6" s="152" t="inlineStr">
        <is>
          <t>SI</t>
        </is>
      </c>
      <c r="P6" s="131" t="n"/>
      <c r="Q6" s="152" t="inlineStr">
        <is>
          <t>NO</t>
        </is>
      </c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K6" s="131" t="n"/>
      <c r="AL6" s="131" t="n"/>
      <c r="AM6" s="152" t="inlineStr">
        <is>
          <t>SI</t>
        </is>
      </c>
      <c r="AN6" s="131" t="n"/>
      <c r="AO6" s="152" t="inlineStr">
        <is>
          <t>NO</t>
        </is>
      </c>
      <c r="AQ6" s="177" t="n"/>
    </row>
    <row r="7" ht="12.95" customHeight="1">
      <c r="B7" s="146" t="inlineStr">
        <is>
          <t>¿Inscrito  en  Registro  de  devolución  mensual?</t>
        </is>
      </c>
      <c r="G7" s="131" t="n"/>
      <c r="H7" s="131" t="n"/>
      <c r="I7" s="131" t="n"/>
      <c r="J7" s="131" t="n"/>
      <c r="K7" s="131" t="n"/>
      <c r="L7" s="131" t="n"/>
      <c r="M7" s="131" t="n"/>
      <c r="N7" s="131" t="n"/>
      <c r="O7" s="178" t="n"/>
      <c r="P7" s="179" t="n"/>
      <c r="Q7" s="178" t="n"/>
      <c r="R7" s="131" t="n"/>
      <c r="S7" s="131" t="n"/>
      <c r="T7" s="146" t="inlineStr">
        <is>
          <t>¿Declarado en concurso de acreedores en el presente período?</t>
        </is>
      </c>
      <c r="U7" s="131" t="n"/>
      <c r="V7" s="131" t="n"/>
      <c r="W7" s="131" t="n"/>
      <c r="X7" s="131" t="n"/>
      <c r="Y7" s="131" t="n"/>
      <c r="Z7" s="131" t="n"/>
      <c r="AA7" s="131" t="n"/>
      <c r="AB7" s="131" t="n"/>
      <c r="AC7" s="131" t="n"/>
      <c r="AD7" s="131" t="n"/>
      <c r="AE7" s="131" t="n"/>
      <c r="AF7" s="131" t="n"/>
      <c r="AG7" s="131" t="n"/>
      <c r="AH7" s="131" t="n"/>
      <c r="AI7" s="131" t="n"/>
      <c r="AJ7" s="131" t="n"/>
      <c r="AK7" s="131" t="n"/>
      <c r="AL7" s="131" t="n"/>
      <c r="AM7" s="178" t="n"/>
      <c r="AN7" s="179" t="n"/>
      <c r="AO7" s="178" t="n"/>
      <c r="AQ7" s="177" t="n"/>
    </row>
    <row r="8" ht="12.95" customHeight="1">
      <c r="B8" s="146" t="inlineStr">
        <is>
          <t>¿Tributa exclusivamente en régimen simpliﬁcado?</t>
        </is>
      </c>
      <c r="G8" s="131" t="n"/>
      <c r="H8" s="131" t="n"/>
      <c r="I8" s="131" t="n"/>
      <c r="J8" s="131" t="n"/>
      <c r="K8" s="131" t="n"/>
      <c r="L8" s="131" t="n"/>
      <c r="M8" s="131" t="n"/>
      <c r="N8" s="131" t="n"/>
      <c r="O8" s="178" t="n"/>
      <c r="P8" s="179" t="n"/>
      <c r="Q8" s="178" t="n"/>
      <c r="R8" s="131" t="n"/>
      <c r="S8" s="131" t="n"/>
      <c r="T8" s="131" t="inlineStr">
        <is>
          <t>¿Ha optado por el régimen especial del criterio de caja?</t>
        </is>
      </c>
      <c r="U8" s="131" t="n"/>
      <c r="V8" s="131" t="n"/>
      <c r="W8" s="131" t="n"/>
      <c r="X8" s="146" t="n"/>
      <c r="Y8" s="131" t="n"/>
      <c r="Z8" s="131" t="n"/>
      <c r="AA8" s="131" t="n"/>
      <c r="AB8" s="131" t="n"/>
      <c r="AC8" s="131" t="n"/>
      <c r="AD8" s="131" t="n"/>
      <c r="AE8" s="131" t="n"/>
      <c r="AF8" s="131" t="n"/>
      <c r="AG8" s="131" t="n"/>
      <c r="AH8" s="131" t="n"/>
      <c r="AI8" s="131" t="n"/>
      <c r="AJ8" s="131" t="n"/>
      <c r="AK8" s="131" t="n"/>
      <c r="AL8" s="131" t="n"/>
      <c r="AM8" s="178" t="n"/>
      <c r="AN8" s="179" t="n"/>
      <c r="AO8" s="178" t="n"/>
      <c r="AQ8" s="177" t="n"/>
    </row>
    <row r="9" ht="12.95" customHeight="1">
      <c r="B9" s="146" t="inlineStr">
        <is>
          <t>¿Es autoliquidación conjunta?</t>
        </is>
      </c>
      <c r="G9" s="131" t="n"/>
      <c r="H9" s="131" t="n"/>
      <c r="I9" s="131" t="n"/>
      <c r="J9" s="131" t="n"/>
      <c r="K9" s="131" t="n"/>
      <c r="L9" s="131" t="n"/>
      <c r="M9" s="131" t="n"/>
      <c r="N9" s="131" t="n"/>
      <c r="O9" s="178" t="n"/>
      <c r="P9" s="179" t="n"/>
      <c r="Q9" s="178" t="n"/>
      <c r="R9" s="131" t="n"/>
      <c r="S9" s="131" t="n"/>
      <c r="T9" s="131" t="inlineStr">
        <is>
          <t>¿Destinatario de operaciones a las que se aplique el criterio de caja?</t>
        </is>
      </c>
      <c r="U9" s="131" t="n"/>
      <c r="V9" s="131" t="n"/>
      <c r="W9" s="131" t="n"/>
      <c r="X9" s="146" t="n"/>
      <c r="Y9" s="131" t="n"/>
      <c r="Z9" s="131" t="n"/>
      <c r="AA9" s="131" t="n"/>
      <c r="AB9" s="131" t="n"/>
      <c r="AC9" s="131" t="n"/>
      <c r="AD9" s="131" t="n"/>
      <c r="AE9" s="131" t="n"/>
      <c r="AF9" s="131" t="n"/>
      <c r="AG9" s="131" t="n"/>
      <c r="AH9" s="131" t="n"/>
      <c r="AI9" s="131" t="n"/>
      <c r="AJ9" s="131" t="n"/>
      <c r="AK9" s="131" t="n"/>
      <c r="AL9" s="131" t="n"/>
      <c r="AM9" s="178" t="n"/>
      <c r="AN9" s="179" t="n"/>
      <c r="AO9" s="178" t="n"/>
      <c r="AQ9" s="177" t="n"/>
    </row>
    <row r="10" ht="3" customHeight="1" thickBot="1">
      <c r="A10" s="87" t="n"/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7" t="n"/>
      <c r="S10" s="87" t="n"/>
      <c r="T10" s="87" t="n"/>
      <c r="U10" s="87" t="n"/>
      <c r="V10" s="87" t="n"/>
      <c r="W10" s="87" t="n"/>
      <c r="X10" s="87" t="n"/>
      <c r="Y10" s="87" t="n"/>
      <c r="Z10" s="87" t="n"/>
      <c r="AA10" s="87" t="n"/>
      <c r="AB10" s="87" t="n"/>
      <c r="AC10" s="87" t="n"/>
      <c r="AD10" s="87" t="n"/>
      <c r="AE10" s="87" t="n"/>
      <c r="AF10" s="87" t="n"/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177" t="n"/>
    </row>
    <row r="11" ht="15.95" customHeight="1">
      <c r="B11" s="157" t="inlineStr">
        <is>
          <t>IVA devengado</t>
        </is>
      </c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O11" s="217" t="inlineStr">
        <is>
          <t>Base imponible</t>
        </is>
      </c>
      <c r="Z11" s="176" t="n"/>
      <c r="AA11" s="229" t="n"/>
      <c r="AB11" s="217" t="inlineStr">
        <is>
          <t>Tipo %</t>
        </is>
      </c>
      <c r="AG11" s="229" t="n"/>
      <c r="AH11" s="229" t="inlineStr">
        <is>
          <t>Cuota</t>
        </is>
      </c>
      <c r="AP11" s="166" t="n"/>
      <c r="AQ11" s="160" t="n"/>
    </row>
    <row r="12" ht="12.95" customHeight="1">
      <c r="B12" s="137" t="n"/>
      <c r="C12" s="137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73" t="n"/>
      <c r="N12" s="168" t="inlineStr">
        <is>
          <t>01</t>
        </is>
      </c>
      <c r="O12" s="207" t="n">
        <v>22030</v>
      </c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43" t="n"/>
      <c r="Y12" s="244" t="n"/>
      <c r="Z12" s="175" t="n"/>
      <c r="AA12" s="168" t="inlineStr">
        <is>
          <t>02</t>
        </is>
      </c>
      <c r="AB12" s="222" t="n">
        <v>21</v>
      </c>
      <c r="AC12" s="243" t="n"/>
      <c r="AD12" s="243" t="n"/>
      <c r="AE12" s="243" t="n"/>
      <c r="AF12" s="244" t="n"/>
      <c r="AG12" s="168" t="inlineStr">
        <is>
          <t>03</t>
        </is>
      </c>
      <c r="AH12" s="207" t="n">
        <v>4626.3</v>
      </c>
      <c r="AI12" s="243" t="n"/>
      <c r="AJ12" s="243" t="n"/>
      <c r="AK12" s="243" t="n"/>
      <c r="AL12" s="243" t="n"/>
      <c r="AM12" s="243" t="n"/>
      <c r="AN12" s="243" t="n"/>
      <c r="AO12" s="244" t="n"/>
      <c r="AP12" s="169" t="n"/>
      <c r="AQ12" s="147" t="n"/>
    </row>
    <row r="13" ht="12.95" customHeight="1">
      <c r="B13" s="137" t="inlineStr">
        <is>
          <t>Régimen general ………….....</t>
        </is>
      </c>
      <c r="C13" s="137" t="n"/>
      <c r="D13" s="137" t="n"/>
      <c r="E13" s="137" t="n"/>
      <c r="F13" s="137" t="n"/>
      <c r="G13" s="137" t="n"/>
      <c r="H13" s="137" t="n"/>
      <c r="I13" s="137" t="n"/>
      <c r="J13" s="137" t="n"/>
      <c r="K13" s="137" t="n"/>
      <c r="L13" s="137" t="n"/>
      <c r="M13" s="173" t="n"/>
      <c r="N13" s="168" t="inlineStr">
        <is>
          <t>04</t>
        </is>
      </c>
      <c r="O13" s="207" t="n">
        <v>456</v>
      </c>
      <c r="P13" s="243" t="n"/>
      <c r="Q13" s="243" t="n"/>
      <c r="R13" s="243" t="n"/>
      <c r="S13" s="243" t="n"/>
      <c r="T13" s="243" t="n"/>
      <c r="U13" s="243" t="n"/>
      <c r="V13" s="243" t="n"/>
      <c r="W13" s="243" t="n"/>
      <c r="X13" s="243" t="n"/>
      <c r="Y13" s="244" t="n"/>
      <c r="Z13" s="175" t="n"/>
      <c r="AA13" s="168" t="inlineStr">
        <is>
          <t>05</t>
        </is>
      </c>
      <c r="AB13" s="222" t="n">
        <v>10</v>
      </c>
      <c r="AC13" s="243" t="n"/>
      <c r="AD13" s="243" t="n"/>
      <c r="AE13" s="243" t="n"/>
      <c r="AF13" s="244" t="n"/>
      <c r="AG13" s="168" t="inlineStr">
        <is>
          <t>06</t>
        </is>
      </c>
      <c r="AH13" s="207" t="n">
        <v>45.6</v>
      </c>
      <c r="AI13" s="243" t="n"/>
      <c r="AJ13" s="243" t="n"/>
      <c r="AK13" s="243" t="n"/>
      <c r="AL13" s="243" t="n"/>
      <c r="AM13" s="243" t="n"/>
      <c r="AN13" s="243" t="n"/>
      <c r="AO13" s="244" t="n"/>
      <c r="AP13" s="169" t="n"/>
      <c r="AQ13" s="160" t="n"/>
    </row>
    <row r="14" ht="12.95" customHeight="1">
      <c r="B14" s="137" t="n"/>
      <c r="C14" s="137" t="n"/>
      <c r="D14" s="137" t="n"/>
      <c r="E14" s="137" t="n"/>
      <c r="F14" s="137" t="n"/>
      <c r="G14" s="137" t="n"/>
      <c r="H14" s="137" t="n"/>
      <c r="I14" s="137" t="n"/>
      <c r="J14" s="137" t="n"/>
      <c r="K14" s="137" t="n"/>
      <c r="L14" s="137" t="n"/>
      <c r="M14" s="173" t="n"/>
      <c r="N14" s="168" t="inlineStr">
        <is>
          <t>07</t>
        </is>
      </c>
      <c r="O14" s="207" t="n">
        <v>0</v>
      </c>
      <c r="P14" s="243" t="n"/>
      <c r="Q14" s="243" t="n"/>
      <c r="R14" s="243" t="n"/>
      <c r="S14" s="243" t="n"/>
      <c r="T14" s="243" t="n"/>
      <c r="U14" s="243" t="n"/>
      <c r="V14" s="243" t="n"/>
      <c r="W14" s="243" t="n"/>
      <c r="X14" s="243" t="n"/>
      <c r="Y14" s="244" t="n"/>
      <c r="Z14" s="175" t="n"/>
      <c r="AA14" s="168" t="inlineStr">
        <is>
          <t>08</t>
        </is>
      </c>
      <c r="AB14" s="222" t="n">
        <v>4</v>
      </c>
      <c r="AC14" s="243" t="n"/>
      <c r="AD14" s="243" t="n"/>
      <c r="AE14" s="243" t="n"/>
      <c r="AF14" s="244" t="n"/>
      <c r="AG14" s="168" t="inlineStr">
        <is>
          <t>09</t>
        </is>
      </c>
      <c r="AH14" s="207" t="n">
        <v>0</v>
      </c>
      <c r="AI14" s="243" t="n"/>
      <c r="AJ14" s="243" t="n"/>
      <c r="AK14" s="243" t="n"/>
      <c r="AL14" s="243" t="n"/>
      <c r="AM14" s="243" t="n"/>
      <c r="AN14" s="243" t="n"/>
      <c r="AO14" s="244" t="n"/>
      <c r="AP14" s="169" t="n"/>
      <c r="AQ14" s="160" t="n"/>
    </row>
    <row r="15" ht="12.95" customHeight="1">
      <c r="B15" s="146" t="inlineStr">
        <is>
          <t>Adquisiciones intracomunitarias de bienes y serv.</t>
        </is>
      </c>
      <c r="C15" s="137" t="n"/>
      <c r="D15" s="137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68" t="n">
        <v>10</v>
      </c>
      <c r="O15" s="207" t="n">
        <v>1043</v>
      </c>
      <c r="P15" s="243" t="n"/>
      <c r="Q15" s="243" t="n"/>
      <c r="R15" s="243" t="n"/>
      <c r="S15" s="243" t="n"/>
      <c r="T15" s="243" t="n"/>
      <c r="U15" s="243" t="n"/>
      <c r="V15" s="243" t="n"/>
      <c r="W15" s="243" t="n"/>
      <c r="X15" s="243" t="n"/>
      <c r="Y15" s="244" t="n"/>
      <c r="Z15" s="175" t="n"/>
      <c r="AF15" s="193" t="n"/>
      <c r="AG15" s="168" t="n">
        <v>11</v>
      </c>
      <c r="AH15" s="207" t="n">
        <v>219.03</v>
      </c>
      <c r="AI15" s="243" t="n"/>
      <c r="AJ15" s="243" t="n"/>
      <c r="AK15" s="243" t="n"/>
      <c r="AL15" s="243" t="n"/>
      <c r="AM15" s="243" t="n"/>
      <c r="AN15" s="243" t="n"/>
      <c r="AO15" s="244" t="n"/>
      <c r="AP15" s="169" t="n"/>
      <c r="AQ15" s="160" t="n"/>
    </row>
    <row r="16" ht="12.95" customHeight="1">
      <c r="B16" s="146" t="inlineStr">
        <is>
          <t>Otras operaciones con inversión del sujeto pasivo</t>
        </is>
      </c>
      <c r="C16" s="137" t="n"/>
      <c r="D16" s="137" t="n"/>
      <c r="E16" s="137" t="n"/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68" t="n">
        <v>12</v>
      </c>
      <c r="O16" s="207" t="n"/>
      <c r="P16" s="243" t="n"/>
      <c r="Q16" s="243" t="n"/>
      <c r="R16" s="243" t="n"/>
      <c r="S16" s="243" t="n"/>
      <c r="T16" s="243" t="n"/>
      <c r="U16" s="243" t="n"/>
      <c r="V16" s="243" t="n"/>
      <c r="W16" s="243" t="n"/>
      <c r="X16" s="243" t="n"/>
      <c r="Y16" s="244" t="n"/>
      <c r="Z16" s="175" t="n"/>
      <c r="AF16" s="193" t="n"/>
      <c r="AG16" s="168" t="n">
        <v>13</v>
      </c>
      <c r="AH16" s="207" t="n"/>
      <c r="AI16" s="243" t="n"/>
      <c r="AJ16" s="243" t="n"/>
      <c r="AK16" s="243" t="n"/>
      <c r="AL16" s="243" t="n"/>
      <c r="AM16" s="243" t="n"/>
      <c r="AN16" s="243" t="n"/>
      <c r="AO16" s="244" t="n"/>
      <c r="AP16" s="169" t="n"/>
      <c r="AQ16" s="160" t="n"/>
    </row>
    <row r="17" ht="12.95" customHeight="1">
      <c r="B17" s="146" t="inlineStr">
        <is>
          <t>Modiﬁcación bases y cuotas</t>
        </is>
      </c>
      <c r="C17" s="137" t="n"/>
      <c r="D17" s="137" t="n"/>
      <c r="E17" s="137" t="n"/>
      <c r="F17" s="137" t="n"/>
      <c r="G17" s="137" t="n"/>
      <c r="H17" s="137" t="n"/>
      <c r="I17" s="137" t="n"/>
      <c r="J17" s="137" t="n"/>
      <c r="K17" s="137" t="n"/>
      <c r="L17" s="137" t="n"/>
      <c r="M17" s="137" t="n"/>
      <c r="N17" s="168" t="n">
        <v>14</v>
      </c>
      <c r="O17" s="207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43" t="n"/>
      <c r="Y17" s="244" t="n"/>
      <c r="Z17" s="175" t="n"/>
      <c r="AF17" s="193" t="n"/>
      <c r="AG17" s="168" t="n">
        <v>15</v>
      </c>
      <c r="AH17" s="207" t="n"/>
      <c r="AI17" s="243" t="n"/>
      <c r="AJ17" s="243" t="n"/>
      <c r="AK17" s="243" t="n"/>
      <c r="AL17" s="243" t="n"/>
      <c r="AM17" s="243" t="n"/>
      <c r="AN17" s="243" t="n"/>
      <c r="AO17" s="244" t="n"/>
      <c r="AP17" s="169" t="n"/>
      <c r="AQ17" s="174" t="n"/>
    </row>
    <row r="18" ht="12.95" customHeight="1">
      <c r="B18" s="146" t="n"/>
      <c r="C18" s="137" t="n"/>
      <c r="D18" s="137" t="n"/>
      <c r="E18" s="137" t="n"/>
      <c r="F18" s="137" t="n"/>
      <c r="G18" s="137" t="n"/>
      <c r="H18" s="137" t="n"/>
      <c r="I18" s="137" t="n"/>
      <c r="J18" s="137" t="n"/>
      <c r="K18" s="137" t="n"/>
      <c r="L18" s="137" t="n"/>
      <c r="M18" s="173" t="n"/>
      <c r="N18" s="168" t="n">
        <v>16</v>
      </c>
      <c r="O18" s="207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43" t="n"/>
      <c r="Y18" s="244" t="n"/>
      <c r="Z18" s="175" t="n"/>
      <c r="AA18" s="168" t="n">
        <v>17</v>
      </c>
      <c r="AB18" s="222">
        <f>IF(O18&gt;0,'[1]DATOS FISCALES'!E13,0)</f>
        <v/>
      </c>
      <c r="AC18" s="243" t="n"/>
      <c r="AD18" s="243" t="n"/>
      <c r="AE18" s="243" t="n"/>
      <c r="AF18" s="244" t="n"/>
      <c r="AG18" s="168" t="n">
        <v>18</v>
      </c>
      <c r="AH18" s="207" t="n"/>
      <c r="AI18" s="243" t="n"/>
      <c r="AJ18" s="243" t="n"/>
      <c r="AK18" s="243" t="n"/>
      <c r="AL18" s="243" t="n"/>
      <c r="AM18" s="243" t="n"/>
      <c r="AN18" s="243" t="n"/>
      <c r="AO18" s="244" t="n"/>
      <c r="AP18" s="169" t="n"/>
      <c r="AQ18" s="160" t="n"/>
    </row>
    <row r="19" ht="12.95" customHeight="1">
      <c r="B19" s="137" t="inlineStr">
        <is>
          <t>Recargo de equivalencia …....</t>
        </is>
      </c>
      <c r="C19" s="137" t="n"/>
      <c r="D19" s="137" t="n"/>
      <c r="E19" s="137" t="n"/>
      <c r="F19" s="137" t="n"/>
      <c r="G19" s="137" t="n"/>
      <c r="H19" s="137" t="n"/>
      <c r="I19" s="137" t="n"/>
      <c r="J19" s="137" t="n"/>
      <c r="K19" s="137" t="n"/>
      <c r="L19" s="137" t="n"/>
      <c r="M19" s="173" t="n"/>
      <c r="N19" s="168" t="n">
        <v>19</v>
      </c>
      <c r="O19" s="207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43" t="n"/>
      <c r="Y19" s="244" t="n"/>
      <c r="Z19" s="175" t="n"/>
      <c r="AA19" s="168" t="n">
        <v>20</v>
      </c>
      <c r="AB19" s="222">
        <f>IF(O19&gt;0,'[1]DATOS FISCALES'!E14,0)</f>
        <v/>
      </c>
      <c r="AC19" s="243" t="n"/>
      <c r="AD19" s="243" t="n"/>
      <c r="AE19" s="243" t="n"/>
      <c r="AF19" s="244" t="n"/>
      <c r="AG19" s="168" t="n">
        <v>21</v>
      </c>
      <c r="AH19" s="207" t="n"/>
      <c r="AI19" s="243" t="n"/>
      <c r="AJ19" s="243" t="n"/>
      <c r="AK19" s="243" t="n"/>
      <c r="AL19" s="243" t="n"/>
      <c r="AM19" s="243" t="n"/>
      <c r="AN19" s="243" t="n"/>
      <c r="AO19" s="244" t="n"/>
      <c r="AP19" s="169" t="n"/>
      <c r="AQ19" s="160" t="n"/>
    </row>
    <row r="20" ht="12.95" customHeight="1">
      <c r="B20" s="137" t="n"/>
      <c r="C20" s="137" t="n"/>
      <c r="D20" s="137" t="n"/>
      <c r="E20" s="137" t="n"/>
      <c r="F20" s="137" t="n"/>
      <c r="G20" s="137" t="n"/>
      <c r="H20" s="137" t="n"/>
      <c r="I20" s="137" t="n"/>
      <c r="J20" s="137" t="n"/>
      <c r="K20" s="137" t="n"/>
      <c r="L20" s="137" t="n"/>
      <c r="M20" s="173" t="n"/>
      <c r="N20" s="168" t="n">
        <v>22</v>
      </c>
      <c r="O20" s="207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43" t="n"/>
      <c r="Y20" s="244" t="n"/>
      <c r="Z20" s="175" t="n"/>
      <c r="AA20" s="168" t="n">
        <v>23</v>
      </c>
      <c r="AB20" s="222">
        <f>IF(O20&gt;0,'[1]DATOS FISCALES'!E15,0)</f>
        <v/>
      </c>
      <c r="AC20" s="243" t="n"/>
      <c r="AD20" s="243" t="n"/>
      <c r="AE20" s="243" t="n"/>
      <c r="AF20" s="244" t="n"/>
      <c r="AG20" s="168" t="n">
        <v>24</v>
      </c>
      <c r="AH20" s="207" t="n"/>
      <c r="AI20" s="243" t="n"/>
      <c r="AJ20" s="243" t="n"/>
      <c r="AK20" s="243" t="n"/>
      <c r="AL20" s="243" t="n"/>
      <c r="AM20" s="243" t="n"/>
      <c r="AN20" s="243" t="n"/>
      <c r="AO20" s="244" t="n"/>
      <c r="AP20" s="169" t="n"/>
      <c r="AQ20" s="160" t="n"/>
    </row>
    <row r="21" ht="12.95" customHeight="1">
      <c r="B21" s="155" t="inlineStr">
        <is>
          <t>Modific. bases y cuotas recargo equival.</t>
        </is>
      </c>
      <c r="C21" s="137" t="n"/>
      <c r="D21" s="137" t="n"/>
      <c r="E21" s="137" t="n"/>
      <c r="F21" s="137" t="n"/>
      <c r="G21" s="137" t="n"/>
      <c r="H21" s="137" t="n"/>
      <c r="I21" s="137" t="n"/>
      <c r="J21" s="137" t="n"/>
      <c r="K21" s="137" t="n"/>
      <c r="L21" s="137" t="n"/>
      <c r="M21" s="137" t="n"/>
      <c r="N21" s="168" t="n">
        <v>25</v>
      </c>
      <c r="O21" s="207" t="n"/>
      <c r="P21" s="243" t="n"/>
      <c r="Q21" s="243" t="n"/>
      <c r="R21" s="243" t="n"/>
      <c r="S21" s="243" t="n"/>
      <c r="T21" s="243" t="n"/>
      <c r="U21" s="243" t="n"/>
      <c r="V21" s="243" t="n"/>
      <c r="W21" s="243" t="n"/>
      <c r="X21" s="243" t="n"/>
      <c r="Y21" s="244" t="n"/>
      <c r="Z21" s="175" t="n"/>
      <c r="AA21" s="193" t="n"/>
      <c r="AB21" s="193" t="n"/>
      <c r="AC21" s="193" t="n"/>
      <c r="AD21" s="193" t="n"/>
      <c r="AE21" s="193" t="n"/>
      <c r="AF21" s="193" t="n"/>
      <c r="AG21" s="168" t="n">
        <v>26</v>
      </c>
      <c r="AH21" s="207" t="n"/>
      <c r="AI21" s="243" t="n"/>
      <c r="AJ21" s="243" t="n"/>
      <c r="AK21" s="243" t="n"/>
      <c r="AL21" s="243" t="n"/>
      <c r="AM21" s="243" t="n"/>
      <c r="AN21" s="243" t="n"/>
      <c r="AO21" s="244" t="n"/>
      <c r="AP21" s="169" t="n"/>
      <c r="AQ21" s="160" t="n"/>
    </row>
    <row r="22" ht="3" customHeight="1">
      <c r="B22" s="137" t="n"/>
      <c r="C22" s="137" t="n"/>
      <c r="D22" s="137" t="n"/>
      <c r="E22" s="137" t="n"/>
      <c r="F22" s="137" t="n"/>
      <c r="G22" s="137" t="n"/>
      <c r="H22" s="137" t="n"/>
      <c r="I22" s="137" t="n"/>
      <c r="J22" s="171" t="n"/>
      <c r="K22" s="137" t="n"/>
      <c r="L22" s="137" t="n"/>
      <c r="M22" s="137" t="n"/>
      <c r="N22" s="193" t="n"/>
      <c r="O22" s="193" t="n"/>
      <c r="P22" s="193" t="n"/>
      <c r="Q22" s="193" t="n"/>
      <c r="R22" s="193" t="n"/>
      <c r="S22" s="193" t="n"/>
      <c r="T22" s="193" t="n"/>
      <c r="U22" s="193" t="n"/>
      <c r="V22" s="193" t="n"/>
      <c r="W22" s="193" t="n"/>
      <c r="X22" s="193" t="n"/>
      <c r="Y22" s="193" t="n"/>
      <c r="Z22" s="193" t="n"/>
      <c r="AA22" s="193" t="n"/>
      <c r="AB22" s="193" t="n"/>
      <c r="AC22" s="193" t="n"/>
      <c r="AD22" s="193" t="n"/>
      <c r="AE22" s="193" t="n"/>
      <c r="AF22" s="193" t="n"/>
      <c r="AG22" s="162" t="n"/>
      <c r="AH22" s="170" t="n"/>
      <c r="AI22" s="170" t="n"/>
      <c r="AJ22" s="170" t="n"/>
      <c r="AK22" s="170" t="n"/>
      <c r="AL22" s="170" t="n"/>
      <c r="AM22" s="170" t="n"/>
      <c r="AN22" s="170" t="n"/>
      <c r="AO22" s="170" t="n"/>
      <c r="AP22" s="169" t="n"/>
      <c r="AQ22" s="160" t="n"/>
    </row>
    <row r="23" ht="12.95" customHeight="1">
      <c r="B23" s="146" t="n"/>
      <c r="C23" s="146" t="n"/>
      <c r="D23" s="138" t="inlineStr">
        <is>
          <t>Total cuota devengada (03 + 06+ 09 + 11 + 13 + 15 + 18 + 21 + 24 + 26)</t>
        </is>
      </c>
      <c r="F23" s="146" t="n"/>
      <c r="G23" s="146" t="n"/>
      <c r="H23" s="146" t="n"/>
      <c r="I23" s="146" t="n"/>
      <c r="J23" s="131" t="n"/>
      <c r="K23" s="146" t="n"/>
      <c r="L23" s="146" t="n"/>
      <c r="M23" s="146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69" t="n"/>
      <c r="AD23" s="169" t="n"/>
      <c r="AE23" s="169" t="n"/>
      <c r="AF23" s="169" t="n"/>
      <c r="AG23" s="168" t="n">
        <v>27</v>
      </c>
      <c r="AH23" s="218">
        <f>SUM(AH12:AO21)</f>
        <v/>
      </c>
      <c r="AI23" s="243" t="n"/>
      <c r="AJ23" s="243" t="n"/>
      <c r="AK23" s="243" t="n"/>
      <c r="AL23" s="243" t="n"/>
      <c r="AM23" s="243" t="n"/>
      <c r="AN23" s="243" t="n"/>
      <c r="AO23" s="244" t="n"/>
      <c r="AP23" s="169" t="n"/>
      <c r="AQ23" s="160" t="n"/>
    </row>
    <row r="24" ht="3" customHeight="1" thickBot="1">
      <c r="A24" s="87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160" t="n"/>
    </row>
    <row r="25" ht="15.95" customHeight="1">
      <c r="B25" s="157" t="inlineStr">
        <is>
          <t>IVA Deducible</t>
        </is>
      </c>
      <c r="C25" s="132" t="n"/>
      <c r="D25" s="132" t="n"/>
      <c r="E25" s="132" t="n"/>
      <c r="F25" s="132" t="n"/>
      <c r="G25" s="132" t="n"/>
      <c r="H25" s="132" t="n"/>
      <c r="I25" s="132" t="n"/>
      <c r="J25" s="132" t="n"/>
      <c r="K25" s="132" t="n"/>
      <c r="L25" s="132" t="n"/>
      <c r="M25" s="132" t="n"/>
      <c r="N25" s="132" t="n"/>
      <c r="O25" s="132" t="n"/>
      <c r="P25" s="132" t="n"/>
      <c r="Q25" s="132" t="n"/>
      <c r="R25" s="132" t="n"/>
      <c r="S25" s="132" t="n"/>
      <c r="T25" s="132" t="n"/>
      <c r="U25" s="132" t="n"/>
      <c r="V25" s="132" t="n"/>
      <c r="W25" s="132" t="n"/>
      <c r="Y25" s="131" t="n"/>
      <c r="AA25" s="132" t="n"/>
      <c r="AB25" s="217" t="inlineStr">
        <is>
          <t>Base</t>
        </is>
      </c>
      <c r="AG25" s="229" t="n"/>
      <c r="AH25" s="217" t="inlineStr">
        <is>
          <t>Cuota</t>
        </is>
      </c>
      <c r="AP25" s="166" t="n"/>
      <c r="AQ25" s="147" t="n"/>
    </row>
    <row r="26" ht="12.95" customHeight="1">
      <c r="B26" s="155" t="inlineStr">
        <is>
          <t>Por cuotas soportadas en operaciones interiores corrientes ………………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137" t="n"/>
      <c r="M26" s="137" t="n"/>
      <c r="N26" s="137" t="n"/>
      <c r="O26" s="137" t="n"/>
      <c r="P26" s="137" t="n"/>
      <c r="Q26" s="137" t="n"/>
      <c r="R26" s="137" t="n"/>
      <c r="S26" s="137" t="n"/>
      <c r="T26" s="137" t="n"/>
      <c r="U26" s="137" t="n"/>
      <c r="V26" s="137" t="n"/>
      <c r="W26" s="137" t="n"/>
      <c r="X26" s="131" t="n"/>
      <c r="Y26" s="131" t="n"/>
      <c r="Z26" s="165" t="n"/>
      <c r="AA26" s="111" t="n">
        <v>28</v>
      </c>
      <c r="AB26" s="207" t="n">
        <v>14535</v>
      </c>
      <c r="AC26" s="243" t="n"/>
      <c r="AD26" s="243" t="n"/>
      <c r="AE26" s="243" t="n"/>
      <c r="AF26" s="244" t="n"/>
      <c r="AG26" s="111" t="n">
        <v>29</v>
      </c>
      <c r="AH26" s="207" t="n">
        <v>3052.35</v>
      </c>
      <c r="AI26" s="243" t="n"/>
      <c r="AJ26" s="243" t="n"/>
      <c r="AK26" s="243" t="n"/>
      <c r="AL26" s="243" t="n"/>
      <c r="AM26" s="243" t="n"/>
      <c r="AN26" s="243" t="n"/>
      <c r="AO26" s="244" t="n"/>
      <c r="AP26" s="152" t="n"/>
      <c r="AQ26" s="147" t="n"/>
    </row>
    <row r="27" ht="12.95" customHeight="1">
      <c r="B27" s="155" t="inlineStr">
        <is>
          <t xml:space="preserve">Por cuotas soportadas en operaciones interiores con bienes de inversión </t>
        </is>
      </c>
      <c r="C27" s="137" t="n"/>
      <c r="D27" s="137" t="n"/>
      <c r="E27" s="137" t="n"/>
      <c r="F27" s="137" t="n"/>
      <c r="G27" s="137" t="n"/>
      <c r="H27" s="137" t="n"/>
      <c r="I27" s="137" t="n"/>
      <c r="J27" s="137" t="n"/>
      <c r="K27" s="137" t="n"/>
      <c r="L27" s="137" t="n"/>
      <c r="M27" s="137" t="n"/>
      <c r="N27" s="137" t="n"/>
      <c r="O27" s="137" t="n"/>
      <c r="P27" s="137" t="n"/>
      <c r="Q27" s="137" t="n"/>
      <c r="R27" s="137" t="n"/>
      <c r="S27" s="137" t="n"/>
      <c r="T27" s="137" t="n"/>
      <c r="U27" s="137" t="n"/>
      <c r="V27" s="137" t="n"/>
      <c r="W27" s="137" t="n"/>
      <c r="X27" s="131" t="n"/>
      <c r="Y27" s="131" t="n"/>
      <c r="AA27" s="111" t="n">
        <v>30</v>
      </c>
      <c r="AB27" s="207" t="n">
        <v>19000</v>
      </c>
      <c r="AC27" s="243" t="n"/>
      <c r="AD27" s="243" t="n"/>
      <c r="AE27" s="243" t="n"/>
      <c r="AF27" s="244" t="n"/>
      <c r="AG27" s="111" t="n">
        <v>31</v>
      </c>
      <c r="AH27" s="207" t="n">
        <v>3990</v>
      </c>
      <c r="AI27" s="243" t="n"/>
      <c r="AJ27" s="243" t="n"/>
      <c r="AK27" s="243" t="n"/>
      <c r="AL27" s="243" t="n"/>
      <c r="AM27" s="243" t="n"/>
      <c r="AN27" s="243" t="n"/>
      <c r="AO27" s="244" t="n"/>
      <c r="AP27" s="152" t="n"/>
      <c r="AQ27" s="147" t="n"/>
    </row>
    <row r="28" ht="12.95" customHeight="1">
      <c r="B28" s="155" t="inlineStr">
        <is>
          <t>Por cuotas devengadas en las importaciones de bienes corrientes ……...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7" t="n"/>
      <c r="M28" s="137" t="n"/>
      <c r="N28" s="137" t="n"/>
      <c r="O28" s="137" t="n"/>
      <c r="P28" s="137" t="n"/>
      <c r="Q28" s="137" t="n"/>
      <c r="R28" s="137" t="n"/>
      <c r="S28" s="137" t="n"/>
      <c r="T28" s="137" t="n"/>
      <c r="U28" s="137" t="n"/>
      <c r="V28" s="137" t="n"/>
      <c r="W28" s="137" t="n"/>
      <c r="X28" s="131" t="n"/>
      <c r="Y28" s="131" t="n"/>
      <c r="AA28" s="111" t="n">
        <v>32</v>
      </c>
      <c r="AB28" s="207" t="n">
        <v>1050</v>
      </c>
      <c r="AC28" s="243" t="n"/>
      <c r="AD28" s="243" t="n"/>
      <c r="AE28" s="243" t="n"/>
      <c r="AF28" s="244" t="n"/>
      <c r="AG28" s="111" t="n">
        <v>33</v>
      </c>
      <c r="AH28" s="207" t="n">
        <v>220.5</v>
      </c>
      <c r="AI28" s="243" t="n"/>
      <c r="AJ28" s="243" t="n"/>
      <c r="AK28" s="243" t="n"/>
      <c r="AL28" s="243" t="n"/>
      <c r="AM28" s="243" t="n"/>
      <c r="AN28" s="243" t="n"/>
      <c r="AO28" s="244" t="n"/>
      <c r="AP28" s="152" t="n"/>
      <c r="AQ28" s="147" t="n"/>
    </row>
    <row r="29" ht="12.95" customHeight="1">
      <c r="B29" s="155" t="inlineStr">
        <is>
          <t>Por cuotas devengadas en las importaciones de bienes de inversión …...</t>
        </is>
      </c>
      <c r="C29" s="137" t="n"/>
      <c r="D29" s="137" t="n"/>
      <c r="E29" s="137" t="n"/>
      <c r="F29" s="137" t="n"/>
      <c r="G29" s="137" t="n"/>
      <c r="H29" s="137" t="n"/>
      <c r="I29" s="137" t="n"/>
      <c r="J29" s="137" t="n"/>
      <c r="K29" s="137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37" t="n"/>
      <c r="U29" s="137" t="n"/>
      <c r="V29" s="137" t="n"/>
      <c r="W29" s="137" t="n"/>
      <c r="X29" s="131" t="n"/>
      <c r="Y29" s="131" t="n"/>
      <c r="AA29" s="111" t="n">
        <v>34</v>
      </c>
      <c r="AB29" s="207" t="n"/>
      <c r="AC29" s="243" t="n"/>
      <c r="AD29" s="243" t="n"/>
      <c r="AE29" s="243" t="n"/>
      <c r="AF29" s="244" t="n"/>
      <c r="AG29" s="111" t="n">
        <v>35</v>
      </c>
      <c r="AH29" s="207" t="n"/>
      <c r="AI29" s="243" t="n"/>
      <c r="AJ29" s="243" t="n"/>
      <c r="AK29" s="243" t="n"/>
      <c r="AL29" s="243" t="n"/>
      <c r="AM29" s="243" t="n"/>
      <c r="AN29" s="243" t="n"/>
      <c r="AO29" s="244" t="n"/>
      <c r="AP29" s="152" t="n"/>
      <c r="AQ29" s="147" t="n"/>
    </row>
    <row r="30" ht="12.95" customHeight="1">
      <c r="B30" s="155" t="inlineStr">
        <is>
          <t>En adquisiciones intracomunitarias de bienes y servicios corrientes ........</t>
        </is>
      </c>
      <c r="C30" s="137" t="n"/>
      <c r="D30" s="137" t="n"/>
      <c r="E30" s="137" t="n"/>
      <c r="F30" s="137" t="n"/>
      <c r="G30" s="137" t="n"/>
      <c r="H30" s="137" t="n"/>
      <c r="I30" s="137" t="n"/>
      <c r="J30" s="137" t="n"/>
      <c r="K30" s="137" t="n"/>
      <c r="L30" s="137" t="n"/>
      <c r="M30" s="137" t="n"/>
      <c r="N30" s="137" t="n"/>
      <c r="O30" s="137" t="n"/>
      <c r="P30" s="137" t="n"/>
      <c r="Q30" s="137" t="n"/>
      <c r="R30" s="137" t="n"/>
      <c r="S30" s="137" t="n"/>
      <c r="T30" s="137" t="n"/>
      <c r="U30" s="137" t="n"/>
      <c r="V30" s="137" t="n"/>
      <c r="W30" s="137" t="n"/>
      <c r="X30" s="131" t="n"/>
      <c r="Y30" s="131" t="n"/>
      <c r="AA30" s="111" t="n">
        <v>36</v>
      </c>
      <c r="AB30" s="207" t="n">
        <v>753</v>
      </c>
      <c r="AC30" s="243" t="n"/>
      <c r="AD30" s="243" t="n"/>
      <c r="AE30" s="243" t="n"/>
      <c r="AF30" s="244" t="n"/>
      <c r="AG30" s="111" t="n">
        <v>37</v>
      </c>
      <c r="AH30" s="207" t="n">
        <v>158.13</v>
      </c>
      <c r="AI30" s="243" t="n"/>
      <c r="AJ30" s="243" t="n"/>
      <c r="AK30" s="243" t="n"/>
      <c r="AL30" s="243" t="n"/>
      <c r="AM30" s="243" t="n"/>
      <c r="AN30" s="243" t="n"/>
      <c r="AO30" s="244" t="n"/>
      <c r="AP30" s="152" t="n"/>
      <c r="AQ30" s="147" t="n"/>
    </row>
    <row r="31" ht="12.95" customHeight="1">
      <c r="B31" s="155" t="inlineStr">
        <is>
          <t>En adquisiciones intracomunitarias de bienes de inversión ……………….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37" t="n"/>
      <c r="M31" s="137" t="n"/>
      <c r="N31" s="137" t="n"/>
      <c r="O31" s="137" t="n"/>
      <c r="P31" s="137" t="n"/>
      <c r="Q31" s="137" t="n"/>
      <c r="R31" s="137" t="n"/>
      <c r="S31" s="137" t="n"/>
      <c r="T31" s="137" t="n"/>
      <c r="U31" s="137" t="n"/>
      <c r="V31" s="137" t="n"/>
      <c r="W31" s="137" t="n"/>
      <c r="X31" s="131" t="n"/>
      <c r="Y31" s="131" t="n"/>
      <c r="AA31" s="111" t="n">
        <v>38</v>
      </c>
      <c r="AB31" s="207" t="n">
        <v>290</v>
      </c>
      <c r="AC31" s="243" t="n"/>
      <c r="AD31" s="243" t="n"/>
      <c r="AE31" s="243" t="n"/>
      <c r="AF31" s="244" t="n"/>
      <c r="AG31" s="111" t="n">
        <v>39</v>
      </c>
      <c r="AH31" s="207" t="n">
        <v>60.9</v>
      </c>
      <c r="AI31" s="243" t="n"/>
      <c r="AJ31" s="243" t="n"/>
      <c r="AK31" s="243" t="n"/>
      <c r="AL31" s="243" t="n"/>
      <c r="AM31" s="243" t="n"/>
      <c r="AN31" s="243" t="n"/>
      <c r="AO31" s="244" t="n"/>
      <c r="AP31" s="152" t="n"/>
      <c r="AQ31" s="147" t="n"/>
    </row>
    <row r="32" ht="12.95" customHeight="1">
      <c r="B32" s="155" t="inlineStr">
        <is>
          <t>Rectificación de deducciones ..................................................................</t>
        </is>
      </c>
      <c r="C32" s="137" t="n"/>
      <c r="D32" s="137" t="n"/>
      <c r="E32" s="137" t="n"/>
      <c r="F32" s="137" t="n"/>
      <c r="G32" s="137" t="n"/>
      <c r="H32" s="137" t="n"/>
      <c r="I32" s="137" t="n"/>
      <c r="J32" s="137" t="n"/>
      <c r="K32" s="137" t="n"/>
      <c r="L32" s="137" t="n"/>
      <c r="M32" s="137" t="n"/>
      <c r="N32" s="137" t="n"/>
      <c r="O32" s="137" t="n"/>
      <c r="P32" s="137" t="n"/>
      <c r="Q32" s="137" t="n"/>
      <c r="R32" s="137" t="n"/>
      <c r="S32" s="137" t="n"/>
      <c r="T32" s="137" t="n"/>
      <c r="U32" s="137" t="n"/>
      <c r="V32" s="137" t="n"/>
      <c r="W32" s="137" t="n"/>
      <c r="X32" s="131" t="n"/>
      <c r="Y32" s="131" t="n"/>
      <c r="AA32" s="111" t="n">
        <v>40</v>
      </c>
      <c r="AB32" s="207" t="n"/>
      <c r="AC32" s="243" t="n"/>
      <c r="AD32" s="243" t="n"/>
      <c r="AE32" s="243" t="n"/>
      <c r="AF32" s="244" t="n"/>
      <c r="AG32" s="111" t="n">
        <v>41</v>
      </c>
      <c r="AH32" s="207" t="n"/>
      <c r="AI32" s="243" t="n"/>
      <c r="AJ32" s="243" t="n"/>
      <c r="AK32" s="243" t="n"/>
      <c r="AL32" s="243" t="n"/>
      <c r="AM32" s="243" t="n"/>
      <c r="AN32" s="243" t="n"/>
      <c r="AO32" s="244" t="n"/>
      <c r="AP32" s="152" t="n"/>
      <c r="AQ32" s="147" t="n"/>
    </row>
    <row r="33" ht="12.95" customHeight="1">
      <c r="B33" s="155" t="inlineStr">
        <is>
          <t>Compensaciones Régimen Especial Agricultura Ganadería y Pesca……………….................</t>
        </is>
      </c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  <c r="L33" s="137" t="n"/>
      <c r="M33" s="137" t="n"/>
      <c r="N33" s="137" t="n"/>
      <c r="O33" s="137" t="n"/>
      <c r="P33" s="137" t="n"/>
      <c r="Q33" s="137" t="n"/>
      <c r="R33" s="137" t="n"/>
      <c r="S33" s="137" t="n"/>
      <c r="T33" s="137" t="n"/>
      <c r="U33" s="137" t="n"/>
      <c r="V33" s="137" t="n"/>
      <c r="W33" s="137" t="n"/>
      <c r="X33" s="193" t="n"/>
      <c r="Y33" s="193" t="n"/>
      <c r="AA33" s="193" t="n"/>
      <c r="AB33" s="193" t="n"/>
      <c r="AC33" s="193" t="n"/>
      <c r="AD33" s="193" t="n"/>
      <c r="AE33" s="193" t="n"/>
      <c r="AF33" s="164" t="n"/>
      <c r="AG33" s="111" t="n">
        <v>42</v>
      </c>
      <c r="AH33" s="207" t="n"/>
      <c r="AI33" s="243" t="n"/>
      <c r="AJ33" s="243" t="n"/>
      <c r="AK33" s="243" t="n"/>
      <c r="AL33" s="243" t="n"/>
      <c r="AM33" s="243" t="n"/>
      <c r="AN33" s="243" t="n"/>
      <c r="AO33" s="244" t="n"/>
      <c r="AP33" s="152" t="n"/>
      <c r="AQ33" s="147" t="n"/>
    </row>
    <row r="34" ht="12.95" customHeight="1">
      <c r="B34" s="155" t="inlineStr">
        <is>
          <t>Regularización bienes de inversión ..........................................................................................</t>
        </is>
      </c>
      <c r="C34" s="137" t="n"/>
      <c r="D34" s="83" t="n"/>
      <c r="E34" s="83" t="n"/>
      <c r="F34" s="83" t="n"/>
      <c r="AF34" s="163" t="n"/>
      <c r="AG34" s="111" t="n">
        <v>43</v>
      </c>
      <c r="AH34" s="207" t="n"/>
      <c r="AI34" s="243" t="n"/>
      <c r="AJ34" s="243" t="n"/>
      <c r="AK34" s="243" t="n"/>
      <c r="AL34" s="243" t="n"/>
      <c r="AM34" s="243" t="n"/>
      <c r="AN34" s="243" t="n"/>
      <c r="AO34" s="244" t="n"/>
      <c r="AP34" s="152" t="n"/>
      <c r="AQ34" s="147" t="n"/>
    </row>
    <row r="35" ht="12.95" customHeight="1">
      <c r="B35" s="155" t="inlineStr">
        <is>
          <t>Regularización por aplicación del porcentaje definitivo de prorrata (sólo 4T o mes 12) ……...</t>
        </is>
      </c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93" t="n"/>
      <c r="Y35" s="193" t="n"/>
      <c r="Z35" s="193" t="n"/>
      <c r="AA35" s="193" t="n"/>
      <c r="AB35" s="193" t="n"/>
      <c r="AC35" s="193" t="n"/>
      <c r="AD35" s="193" t="n"/>
      <c r="AE35" s="193" t="n"/>
      <c r="AF35" s="163" t="n"/>
      <c r="AG35" s="111" t="n">
        <v>44</v>
      </c>
      <c r="AH35" s="207" t="n"/>
      <c r="AI35" s="243" t="n"/>
      <c r="AJ35" s="243" t="n"/>
      <c r="AK35" s="243" t="n"/>
      <c r="AL35" s="243" t="n"/>
      <c r="AM35" s="243" t="n"/>
      <c r="AN35" s="243" t="n"/>
      <c r="AO35" s="244" t="n"/>
      <c r="AP35" s="152" t="n"/>
      <c r="AQ35" s="147" t="n"/>
    </row>
    <row r="36" ht="3" customHeight="1">
      <c r="B36" s="137" t="n"/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137" t="n"/>
      <c r="M36" s="137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93" t="n"/>
      <c r="Y36" s="193" t="n"/>
      <c r="Z36" s="193" t="n"/>
      <c r="AA36" s="193" t="n"/>
      <c r="AB36" s="193" t="n"/>
      <c r="AC36" s="193" t="n"/>
      <c r="AD36" s="193" t="n"/>
      <c r="AE36" s="193" t="n"/>
      <c r="AF36" s="193" t="n"/>
      <c r="AG36" s="162" t="n"/>
      <c r="AH36" s="161" t="n"/>
      <c r="AI36" s="161" t="n"/>
      <c r="AJ36" s="161" t="n"/>
      <c r="AK36" s="161" t="n"/>
      <c r="AL36" s="161" t="n"/>
      <c r="AM36" s="161" t="n"/>
      <c r="AN36" s="161" t="n"/>
      <c r="AO36" s="161" t="n"/>
      <c r="AP36" s="152" t="n"/>
      <c r="AQ36" s="147" t="n"/>
    </row>
    <row r="37" ht="12.95" customHeight="1">
      <c r="B37" s="137" t="n"/>
      <c r="C37" s="137" t="n"/>
      <c r="D37" s="138" t="inlineStr">
        <is>
          <t>Total a deducir (29 + 31 + 33 + 35 + 37 + 39 + 41 + 42 + 43 + 44)</t>
        </is>
      </c>
      <c r="E37" s="137" t="n"/>
      <c r="F37" s="137" t="n"/>
      <c r="G37" s="137" t="n"/>
      <c r="H37" s="137" t="n"/>
      <c r="I37" s="137" t="n"/>
      <c r="J37" s="137" t="n"/>
      <c r="K37" s="131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93" t="n"/>
      <c r="Y37" s="193" t="n"/>
      <c r="Z37" s="193" t="n"/>
      <c r="AA37" s="193" t="n"/>
      <c r="AB37" s="193" t="n"/>
      <c r="AC37" s="193" t="n"/>
      <c r="AD37" s="193" t="n"/>
      <c r="AE37" s="193" t="n"/>
      <c r="AF37" s="193" t="n"/>
      <c r="AG37" s="136" t="n">
        <v>45</v>
      </c>
      <c r="AH37" s="207">
        <f>SUM(AH26:AO35)</f>
        <v/>
      </c>
      <c r="AI37" s="243" t="n"/>
      <c r="AJ37" s="243" t="n"/>
      <c r="AK37" s="243" t="n"/>
      <c r="AL37" s="243" t="n"/>
      <c r="AM37" s="243" t="n"/>
      <c r="AN37" s="243" t="n"/>
      <c r="AO37" s="244" t="n"/>
      <c r="AP37" s="152" t="n"/>
      <c r="AQ37" s="147" t="n"/>
    </row>
    <row r="38" ht="3" customHeight="1">
      <c r="B38" s="131" t="n"/>
      <c r="C38" s="131" t="n"/>
      <c r="D38" s="131" t="n"/>
      <c r="E38" s="131" t="n"/>
      <c r="F38" s="131" t="n"/>
      <c r="G38" s="131" t="n"/>
      <c r="H38" s="131" t="n"/>
      <c r="I38" s="131" t="n"/>
      <c r="J38" s="131" t="n"/>
      <c r="K38" s="131" t="n"/>
      <c r="L38" s="131" t="n"/>
      <c r="M38" s="131" t="n"/>
      <c r="N38" s="131" t="n"/>
      <c r="O38" s="131" t="n"/>
      <c r="P38" s="131" t="n"/>
      <c r="Q38" s="131" t="n"/>
      <c r="R38" s="131" t="n"/>
      <c r="S38" s="131" t="n"/>
      <c r="T38" s="131" t="n"/>
      <c r="U38" s="131" t="n"/>
      <c r="V38" s="131" t="n"/>
      <c r="W38" s="131" t="n"/>
      <c r="X38" s="131" t="n"/>
      <c r="Y38" s="131" t="n"/>
      <c r="Z38" s="131" t="n"/>
      <c r="AA38" s="131" t="n"/>
      <c r="AB38" s="131" t="n"/>
      <c r="AC38" s="131" t="n"/>
      <c r="AD38" s="131" t="n"/>
      <c r="AE38" s="131" t="n"/>
      <c r="AF38" s="131" t="n"/>
      <c r="AG38" s="131" t="n"/>
      <c r="AH38" s="131" t="n"/>
      <c r="AI38" s="131" t="n"/>
      <c r="AJ38" s="131" t="n"/>
      <c r="AK38" s="131" t="n"/>
      <c r="AL38" s="131" t="n"/>
      <c r="AM38" s="131" t="n"/>
      <c r="AN38" s="131" t="n"/>
      <c r="AO38" s="131" t="n"/>
      <c r="AP38" s="131" t="n"/>
      <c r="AQ38" s="147" t="n"/>
    </row>
    <row r="39" ht="12.95" customHeight="1">
      <c r="B39" s="137" t="n"/>
      <c r="C39" s="137" t="n"/>
      <c r="D39" s="138" t="inlineStr">
        <is>
          <t>Resultado del régimen general (27 - 45)</t>
        </is>
      </c>
      <c r="E39" s="137" t="n"/>
      <c r="F39" s="137" t="n"/>
      <c r="G39" s="137" t="n"/>
      <c r="H39" s="137" t="n"/>
      <c r="I39" s="137" t="n"/>
      <c r="J39" s="137" t="n"/>
      <c r="K39" s="131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93" t="n"/>
      <c r="V39" s="193" t="n"/>
      <c r="W39" s="193" t="n"/>
      <c r="X39" s="193" t="n"/>
      <c r="Y39" s="193" t="n"/>
      <c r="Z39" s="193" t="n"/>
      <c r="AA39" s="193" t="n"/>
      <c r="AB39" s="193" t="n"/>
      <c r="AC39" s="193" t="n"/>
      <c r="AD39" s="193" t="n"/>
      <c r="AE39" s="193" t="n"/>
      <c r="AF39" s="193" t="n"/>
      <c r="AG39" s="111" t="n">
        <v>46</v>
      </c>
      <c r="AH39" s="207">
        <f>AH23-AH37</f>
        <v/>
      </c>
      <c r="AI39" s="243" t="n"/>
      <c r="AJ39" s="243" t="n"/>
      <c r="AK39" s="243" t="n"/>
      <c r="AL39" s="243" t="n"/>
      <c r="AM39" s="243" t="n"/>
      <c r="AN39" s="243" t="n"/>
      <c r="AO39" s="244" t="n"/>
      <c r="AP39" s="152" t="n"/>
      <c r="AQ39" s="147" t="n"/>
    </row>
    <row r="40" ht="3" customHeight="1" thickBot="1">
      <c r="A40" s="87" t="n"/>
      <c r="B40" s="87" t="n"/>
      <c r="C40" s="87" t="n"/>
      <c r="D40" s="87" t="n"/>
      <c r="E40" s="87" t="n"/>
      <c r="F40" s="87" t="n"/>
      <c r="G40" s="87" t="n"/>
      <c r="H40" s="87" t="n"/>
      <c r="I40" s="87" t="n"/>
      <c r="J40" s="87" t="n"/>
      <c r="K40" s="87" t="n"/>
      <c r="L40" s="87" t="n"/>
      <c r="M40" s="87" t="n"/>
      <c r="N40" s="87" t="n"/>
      <c r="O40" s="87" t="n"/>
      <c r="P40" s="87" t="n"/>
      <c r="Q40" s="87" t="n"/>
      <c r="R40" s="87" t="n"/>
      <c r="S40" s="87" t="n"/>
      <c r="T40" s="87" t="n"/>
      <c r="U40" s="87" t="n"/>
      <c r="V40" s="87" t="n"/>
      <c r="W40" s="87" t="n"/>
      <c r="X40" s="87" t="n"/>
      <c r="Y40" s="87" t="n"/>
      <c r="Z40" s="87" t="n"/>
      <c r="AA40" s="87" t="n"/>
      <c r="AB40" s="87" t="n"/>
      <c r="AC40" s="87" t="n"/>
      <c r="AD40" s="87" t="n"/>
      <c r="AE40" s="87" t="n"/>
      <c r="AF40" s="87" t="n"/>
      <c r="AG40" s="87" t="n"/>
      <c r="AH40" s="87" t="n"/>
      <c r="AI40" s="87" t="n"/>
      <c r="AJ40" s="87" t="n"/>
      <c r="AK40" s="87" t="n"/>
      <c r="AL40" s="87" t="n"/>
      <c r="AM40" s="87" t="n"/>
      <c r="AN40" s="87" t="n"/>
      <c r="AO40" s="87" t="n"/>
      <c r="AP40" s="87" t="n"/>
      <c r="AQ40" s="160" t="n"/>
    </row>
    <row r="41" ht="15.95" customHeight="1">
      <c r="B41" s="157" t="inlineStr">
        <is>
          <t>Información adicional</t>
        </is>
      </c>
      <c r="C41" s="83" t="n"/>
      <c r="D41" s="83" t="n"/>
      <c r="E41" s="83" t="n"/>
      <c r="F41" s="83" t="n"/>
      <c r="AP41" s="83" t="n"/>
      <c r="AQ41" s="147" t="n"/>
    </row>
    <row r="42" ht="12.95" customHeight="1">
      <c r="B42" s="155" t="inlineStr">
        <is>
          <t>Entregas intracomunitarias de bienes y servicios ....................................................................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93" t="n"/>
      <c r="Y42" s="193" t="n"/>
      <c r="Z42" s="193" t="n"/>
      <c r="AA42" s="193" t="n"/>
      <c r="AB42" s="193" t="n"/>
      <c r="AC42" s="193" t="n"/>
      <c r="AD42" s="193" t="n"/>
      <c r="AE42" s="193" t="n"/>
      <c r="AF42" s="159" t="n"/>
      <c r="AG42" s="111" t="n">
        <v>59</v>
      </c>
      <c r="AH42" s="207" t="n">
        <v>2240</v>
      </c>
      <c r="AI42" s="243" t="n"/>
      <c r="AJ42" s="243" t="n"/>
      <c r="AK42" s="243" t="n"/>
      <c r="AL42" s="243" t="n"/>
      <c r="AM42" s="243" t="n"/>
      <c r="AN42" s="243" t="n"/>
      <c r="AO42" s="244" t="n"/>
      <c r="AP42" s="152" t="n"/>
      <c r="AQ42" s="147" t="n"/>
    </row>
    <row r="43" ht="12.95" customHeight="1">
      <c r="B43" s="155" t="inlineStr">
        <is>
          <t>Exportaciones y operaciones asimiladas</t>
        </is>
      </c>
      <c r="C43" s="137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93" t="n"/>
      <c r="Y43" s="193" t="n"/>
      <c r="Z43" s="193" t="n"/>
      <c r="AA43" s="193" t="n"/>
      <c r="AB43" s="193" t="n"/>
      <c r="AC43" s="193" t="n"/>
      <c r="AD43" s="193" t="n"/>
      <c r="AE43" s="193" t="n"/>
      <c r="AF43" s="193" t="n"/>
      <c r="AG43" s="111" t="n">
        <v>60</v>
      </c>
      <c r="AH43" s="218" t="n">
        <v>3636</v>
      </c>
      <c r="AI43" s="243" t="n"/>
      <c r="AJ43" s="243" t="n"/>
      <c r="AK43" s="243" t="n"/>
      <c r="AL43" s="243" t="n"/>
      <c r="AM43" s="243" t="n"/>
      <c r="AN43" s="243" t="n"/>
      <c r="AO43" s="244" t="n"/>
      <c r="AP43" s="152" t="n"/>
      <c r="AQ43" s="147" t="n"/>
    </row>
    <row r="44" ht="12.95" customHeight="1">
      <c r="B44" s="155" t="inlineStr">
        <is>
          <t>Operaciones no sujetas o con inversión del sujeto pasivo que originan derecho a deducción</t>
        </is>
      </c>
      <c r="C44" s="137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93" t="n"/>
      <c r="Y44" s="193" t="n"/>
      <c r="Z44" s="193" t="n"/>
      <c r="AA44" s="193" t="n"/>
      <c r="AB44" s="193" t="n"/>
      <c r="AC44" s="193" t="n"/>
      <c r="AD44" s="193" t="n"/>
      <c r="AE44" s="193" t="n"/>
      <c r="AF44" s="193" t="n"/>
      <c r="AG44" s="111" t="n">
        <v>61</v>
      </c>
      <c r="AH44" s="218" t="n"/>
      <c r="AI44" s="243" t="n"/>
      <c r="AJ44" s="243" t="n"/>
      <c r="AK44" s="243" t="n"/>
      <c r="AL44" s="243" t="n"/>
      <c r="AM44" s="243" t="n"/>
      <c r="AN44" s="243" t="n"/>
      <c r="AO44" s="244" t="n"/>
      <c r="AP44" s="152" t="n"/>
      <c r="AQ44" s="147" t="n"/>
    </row>
    <row r="45" ht="35.25" customHeight="1">
      <c r="B45" s="216" t="inlineStr">
        <is>
          <t>Exclusivamente para aquellos sujetos pasivos acogidos al rég. especial del criterio de caja y para aquéllos que sean destinatarios de operaciones afectadas por el mismo:</t>
        </is>
      </c>
      <c r="AB45" s="217" t="inlineStr">
        <is>
          <t>Base</t>
        </is>
      </c>
      <c r="AG45" s="229" t="n"/>
      <c r="AH45" s="217" t="inlineStr">
        <is>
          <t>Cuota</t>
        </is>
      </c>
      <c r="AP45" s="152" t="n"/>
      <c r="AQ45" s="147" t="n"/>
    </row>
    <row r="46" ht="12.95" customHeight="1">
      <c r="B46" s="158" t="inlineStr">
        <is>
          <t>Entregas bienes y prest. serv. en RECC que hubieran resultado devengadas conforme a la regla general ...</t>
        </is>
      </c>
      <c r="C46" s="137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93" t="n"/>
      <c r="Y46" s="193" t="n"/>
      <c r="Z46" s="193" t="n"/>
      <c r="AA46" s="111" t="n">
        <v>62</v>
      </c>
      <c r="AB46" s="207" t="n"/>
      <c r="AC46" s="243" t="n"/>
      <c r="AD46" s="243" t="n"/>
      <c r="AE46" s="243" t="n"/>
      <c r="AF46" s="244" t="n"/>
      <c r="AG46" s="111" t="n">
        <v>63</v>
      </c>
      <c r="AH46" s="207" t="n"/>
      <c r="AI46" s="243" t="n"/>
      <c r="AJ46" s="243" t="n"/>
      <c r="AK46" s="243" t="n"/>
      <c r="AL46" s="243" t="n"/>
      <c r="AM46" s="243" t="n"/>
      <c r="AN46" s="243" t="n"/>
      <c r="AO46" s="244" t="n"/>
      <c r="AP46" s="152" t="n"/>
      <c r="AQ46" s="147" t="n"/>
    </row>
    <row r="47" ht="3" customHeight="1">
      <c r="A47" s="83" t="n"/>
      <c r="B47" s="83" t="n"/>
      <c r="C47" s="83" t="n"/>
      <c r="D47" s="83" t="n"/>
      <c r="E47" s="83" t="n"/>
      <c r="F47" s="83" t="n"/>
      <c r="AP47" s="83" t="n"/>
      <c r="AQ47" s="147" t="n"/>
    </row>
    <row r="48" ht="12.75" customHeight="1">
      <c r="B48" s="158" t="inlineStr">
        <is>
          <t>Adquisiciones bienes y serv. a las que se aplique o afecte el RECC conforme a la regla general de devengo</t>
        </is>
      </c>
      <c r="C48" s="137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93" t="n"/>
      <c r="Y48" s="193" t="n"/>
      <c r="Z48" s="193" t="n"/>
      <c r="AA48" s="111" t="n">
        <v>74</v>
      </c>
      <c r="AB48" s="207" t="n"/>
      <c r="AC48" s="243" t="n"/>
      <c r="AD48" s="243" t="n"/>
      <c r="AE48" s="243" t="n"/>
      <c r="AF48" s="244" t="n"/>
      <c r="AG48" s="111" t="n">
        <v>75</v>
      </c>
      <c r="AH48" s="207" t="n"/>
      <c r="AI48" s="243" t="n"/>
      <c r="AJ48" s="243" t="n"/>
      <c r="AK48" s="243" t="n"/>
      <c r="AL48" s="243" t="n"/>
      <c r="AM48" s="243" t="n"/>
      <c r="AN48" s="243" t="n"/>
      <c r="AO48" s="244" t="n"/>
      <c r="AP48" s="152" t="n"/>
      <c r="AQ48" s="147" t="n"/>
    </row>
    <row r="49" ht="3" customHeight="1" thickBot="1">
      <c r="A49" s="87" t="n"/>
      <c r="B49" s="87" t="n"/>
      <c r="C49" s="87" t="n"/>
      <c r="D49" s="87" t="n"/>
      <c r="E49" s="87" t="n"/>
      <c r="F49" s="87" t="n"/>
      <c r="G49" s="87" t="n"/>
      <c r="H49" s="87" t="n"/>
      <c r="I49" s="87" t="n"/>
      <c r="J49" s="87" t="n"/>
      <c r="K49" s="87" t="n"/>
      <c r="L49" s="87" t="n"/>
      <c r="M49" s="87" t="n"/>
      <c r="N49" s="87" t="n"/>
      <c r="O49" s="87" t="n"/>
      <c r="P49" s="87" t="n"/>
      <c r="Q49" s="87" t="n"/>
      <c r="R49" s="87" t="n"/>
      <c r="S49" s="87" t="n"/>
      <c r="T49" s="87" t="n"/>
      <c r="U49" s="87" t="n"/>
      <c r="V49" s="87" t="n"/>
      <c r="W49" s="87" t="n"/>
      <c r="X49" s="87" t="n"/>
      <c r="Y49" s="87" t="n"/>
      <c r="Z49" s="87" t="n"/>
      <c r="AA49" s="87" t="n"/>
      <c r="AB49" s="87" t="n"/>
      <c r="AC49" s="87" t="n"/>
      <c r="AD49" s="87" t="n"/>
      <c r="AE49" s="87" t="n"/>
      <c r="AF49" s="87" t="n"/>
      <c r="AG49" s="87" t="n"/>
      <c r="AH49" s="87" t="n"/>
      <c r="AI49" s="87" t="n"/>
      <c r="AJ49" s="87" t="n"/>
      <c r="AK49" s="87" t="n"/>
      <c r="AL49" s="87" t="n"/>
      <c r="AM49" s="87" t="n"/>
      <c r="AN49" s="87" t="n"/>
      <c r="AO49" s="87" t="n"/>
      <c r="AP49" s="87" t="n"/>
      <c r="AQ49" s="147" t="n"/>
    </row>
    <row r="50" ht="3" customHeight="1">
      <c r="A50" s="131" t="n"/>
      <c r="B50" s="131" t="n"/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1" t="n"/>
      <c r="L50" s="131" t="n"/>
      <c r="M50" s="131" t="n"/>
      <c r="N50" s="131" t="n"/>
      <c r="O50" s="131" t="n"/>
      <c r="P50" s="131" t="n"/>
      <c r="Q50" s="131" t="n"/>
      <c r="R50" s="131" t="n"/>
      <c r="S50" s="131" t="n"/>
      <c r="T50" s="131" t="n"/>
      <c r="U50" s="131" t="n"/>
      <c r="V50" s="131" t="n"/>
      <c r="W50" s="131" t="n"/>
      <c r="X50" s="131" t="n"/>
      <c r="Y50" s="131" t="n"/>
      <c r="Z50" s="131" t="n"/>
      <c r="AA50" s="131" t="n"/>
      <c r="AB50" s="131" t="n"/>
      <c r="AC50" s="131" t="n"/>
      <c r="AD50" s="131" t="n"/>
      <c r="AE50" s="131" t="n"/>
      <c r="AF50" s="131" t="n"/>
      <c r="AG50" s="131" t="n"/>
      <c r="AH50" s="131" t="n"/>
      <c r="AI50" s="131" t="n"/>
      <c r="AJ50" s="131" t="n"/>
      <c r="AK50" s="131" t="n"/>
      <c r="AL50" s="131" t="n"/>
      <c r="AM50" s="131" t="n"/>
      <c r="AN50" s="131" t="n"/>
      <c r="AO50" s="131" t="n"/>
      <c r="AP50" s="131" t="n"/>
      <c r="AQ50" s="147" t="n"/>
    </row>
    <row r="51" ht="12.95" customHeight="1">
      <c r="B51" s="157" t="inlineStr">
        <is>
          <t>Resultado</t>
        </is>
      </c>
      <c r="C51" s="137" t="n"/>
      <c r="E51" s="137" t="n"/>
      <c r="F51" s="137" t="n"/>
      <c r="G51" s="137" t="n"/>
      <c r="H51" s="137" t="n"/>
      <c r="I51" s="137" t="n"/>
      <c r="J51" s="137" t="n"/>
      <c r="K51" s="131" t="n"/>
      <c r="L51" s="137" t="n"/>
      <c r="M51" s="137" t="n"/>
      <c r="N51" s="137" t="n"/>
      <c r="O51" s="137" t="n"/>
      <c r="P51" s="137" t="n"/>
      <c r="Q51" s="138" t="inlineStr">
        <is>
          <t>Suma de resultados (46 + 58)</t>
        </is>
      </c>
      <c r="R51" s="137" t="n"/>
      <c r="S51" s="137" t="n"/>
      <c r="T51" s="137" t="n"/>
      <c r="U51" s="193" t="n"/>
      <c r="V51" s="193" t="n"/>
      <c r="W51" s="193" t="n"/>
      <c r="X51" s="193" t="n"/>
      <c r="Y51" s="193" t="n"/>
      <c r="Z51" s="193" t="n"/>
      <c r="AA51" s="193" t="n"/>
      <c r="AB51" s="193" t="n"/>
      <c r="AC51" s="193" t="n"/>
      <c r="AD51" s="193" t="n"/>
      <c r="AE51" s="193" t="n"/>
      <c r="AF51" s="193" t="n"/>
      <c r="AG51" s="111" t="n">
        <v>64</v>
      </c>
      <c r="AH51" s="207" t="n"/>
      <c r="AI51" s="243" t="n"/>
      <c r="AJ51" s="243" t="n"/>
      <c r="AK51" s="243" t="n"/>
      <c r="AL51" s="243" t="n"/>
      <c r="AM51" s="243" t="n"/>
      <c r="AN51" s="243" t="n"/>
      <c r="AO51" s="244" t="n"/>
      <c r="AP51" s="152" t="n"/>
      <c r="AQ51" s="147" t="n"/>
    </row>
    <row r="52" ht="12.95" customHeight="1">
      <c r="B52" s="155" t="inlineStr">
        <is>
          <t>Atribuible a la Administración del Estado</t>
        </is>
      </c>
      <c r="C52" s="137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11" t="n">
        <v>65</v>
      </c>
      <c r="O52" s="210" t="n">
        <v>100</v>
      </c>
      <c r="P52" s="243" t="n"/>
      <c r="Q52" s="244" t="n"/>
      <c r="R52" s="156" t="inlineStr">
        <is>
          <t>%</t>
        </is>
      </c>
      <c r="S52" s="131" t="n"/>
      <c r="T52" s="131" t="n"/>
      <c r="U52" s="131" t="n"/>
      <c r="V52" s="131" t="n"/>
      <c r="W52" s="131" t="n"/>
      <c r="X52" s="131" t="n"/>
      <c r="Y52" s="131" t="n"/>
      <c r="Z52" s="193" t="n"/>
      <c r="AA52" s="193" t="n"/>
      <c r="AB52" s="193" t="n"/>
      <c r="AC52" s="193" t="n"/>
      <c r="AD52" s="193" t="n"/>
      <c r="AE52" s="193" t="n"/>
      <c r="AF52" s="193" t="n"/>
      <c r="AG52" s="111" t="n">
        <v>66</v>
      </c>
      <c r="AH52" s="207" t="n"/>
      <c r="AI52" s="243" t="n"/>
      <c r="AJ52" s="243" t="n"/>
      <c r="AK52" s="243" t="n"/>
      <c r="AL52" s="243" t="n"/>
      <c r="AM52" s="243" t="n"/>
      <c r="AN52" s="243" t="n"/>
      <c r="AO52" s="244" t="n"/>
      <c r="AP52" s="152" t="n"/>
      <c r="AQ52" s="147" t="n"/>
    </row>
    <row r="53" ht="12.95" customHeight="1">
      <c r="B53" s="155" t="inlineStr">
        <is>
          <t>Cuotas a compensar de periodos anteriores ……….…………………………..…………………</t>
        </is>
      </c>
      <c r="C53" s="137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93" t="n"/>
      <c r="V53" s="193" t="n"/>
      <c r="W53" s="193" t="n"/>
      <c r="X53" s="193" t="n"/>
      <c r="Y53" s="193" t="n"/>
      <c r="Z53" s="193" t="n"/>
      <c r="AA53" s="193" t="n"/>
      <c r="AB53" s="193" t="n"/>
      <c r="AC53" s="193" t="n"/>
      <c r="AD53" s="193" t="n"/>
      <c r="AE53" s="193" t="n"/>
      <c r="AF53" s="193" t="n"/>
      <c r="AG53" s="111" t="n">
        <v>67</v>
      </c>
      <c r="AH53" s="207" t="n"/>
      <c r="AI53" s="243" t="n"/>
      <c r="AJ53" s="243" t="n"/>
      <c r="AK53" s="243" t="n"/>
      <c r="AL53" s="243" t="n"/>
      <c r="AM53" s="243" t="n"/>
      <c r="AN53" s="243" t="n"/>
      <c r="AO53" s="244" t="n"/>
      <c r="AP53" s="152" t="n"/>
      <c r="AQ53" s="147" t="n"/>
    </row>
    <row r="54" ht="3" customHeight="1">
      <c r="A54" s="131" t="n"/>
      <c r="B54" s="132" t="n"/>
      <c r="C54" s="132" t="n"/>
      <c r="D54" s="132" t="n"/>
      <c r="E54" s="132" t="n"/>
      <c r="F54" s="132" t="n"/>
      <c r="G54" s="132" t="n"/>
      <c r="H54" s="132" t="n"/>
      <c r="I54" s="132" t="n"/>
      <c r="J54" s="132" t="n"/>
      <c r="K54" s="132" t="n"/>
      <c r="L54" s="132" t="n"/>
      <c r="M54" s="132" t="n"/>
      <c r="N54" s="132" t="n"/>
      <c r="O54" s="132" t="n"/>
      <c r="P54" s="132" t="n"/>
      <c r="Q54" s="132" t="n"/>
      <c r="R54" s="132" t="n"/>
      <c r="S54" s="132" t="n"/>
      <c r="T54" s="132" t="n"/>
      <c r="U54" s="132" t="n"/>
      <c r="V54" s="132" t="n"/>
      <c r="W54" s="132" t="n"/>
      <c r="X54" s="132" t="n"/>
      <c r="Y54" s="154" t="n"/>
      <c r="Z54" s="229" t="n"/>
      <c r="AA54" s="229" t="n"/>
      <c r="AB54" s="229" t="n"/>
      <c r="AC54" s="229" t="n"/>
      <c r="AD54" s="229" t="n"/>
      <c r="AE54" s="229" t="n"/>
      <c r="AF54" s="229" t="n"/>
      <c r="AG54" s="229" t="n"/>
      <c r="AH54" s="229" t="n"/>
      <c r="AI54" s="229" t="n"/>
      <c r="AJ54" s="229" t="n"/>
      <c r="AK54" s="229" t="n"/>
      <c r="AL54" s="229" t="n"/>
      <c r="AM54" s="229" t="n"/>
      <c r="AN54" s="229" t="n"/>
      <c r="AO54" s="229" t="n"/>
      <c r="AP54" s="152" t="n"/>
      <c r="AQ54" s="147" t="n"/>
    </row>
    <row r="55" ht="12.95" customHeight="1">
      <c r="A55" s="131" t="n"/>
      <c r="B55" s="151" t="inlineStr">
        <is>
          <t>Exclusivamente para sujetos pasivos que tributan</t>
        </is>
      </c>
      <c r="C55" s="82" t="n"/>
      <c r="D55" s="150" t="n"/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49" t="n"/>
      <c r="O55" s="137" t="n"/>
      <c r="P55" s="137" t="n"/>
      <c r="Q55" s="138" t="inlineStr">
        <is>
          <t>Resultado (66 - 67 + 68)</t>
        </is>
      </c>
      <c r="R55" s="137" t="n"/>
      <c r="S55" s="137" t="n"/>
      <c r="T55" s="137" t="n"/>
      <c r="U55" s="137" t="n"/>
      <c r="V55" s="137" t="n"/>
      <c r="W55" s="131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6" t="n">
        <v>69</v>
      </c>
      <c r="AH55" s="207" t="n"/>
      <c r="AI55" s="243" t="n"/>
      <c r="AJ55" s="243" t="n"/>
      <c r="AK55" s="243" t="n"/>
      <c r="AL55" s="243" t="n"/>
      <c r="AM55" s="243" t="n"/>
      <c r="AN55" s="243" t="n"/>
      <c r="AO55" s="244" t="n"/>
      <c r="AP55" s="131" t="n"/>
      <c r="AQ55" s="147" t="n"/>
    </row>
    <row r="56" ht="12.95" customHeight="1">
      <c r="A56" s="131" t="n"/>
      <c r="B56" s="145" t="inlineStr">
        <is>
          <t>conjuntamente a la Administración del Estado y a las</t>
        </is>
      </c>
      <c r="C56" s="131" t="n"/>
      <c r="D56" s="132" t="n"/>
      <c r="E56" s="132" t="n"/>
      <c r="F56" s="132" t="n"/>
      <c r="G56" s="132" t="n"/>
      <c r="H56" s="132" t="n"/>
      <c r="I56" s="132" t="n"/>
      <c r="J56" s="132" t="n"/>
      <c r="K56" s="132" t="n"/>
      <c r="L56" s="132" t="n"/>
      <c r="M56" s="132" t="n"/>
      <c r="N56" s="139" t="n"/>
      <c r="O56" s="146" t="inlineStr">
        <is>
          <t xml:space="preserve"> A deducir (exclusivamente en caso de autoliquidación complementaria):</t>
        </is>
      </c>
      <c r="P56" s="146" t="n"/>
      <c r="Q56" s="146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43" t="n"/>
      <c r="AH56" s="193" t="n"/>
      <c r="AI56" s="193" t="n"/>
      <c r="AJ56" s="193" t="n"/>
      <c r="AK56" s="193" t="n"/>
      <c r="AL56" s="193" t="n"/>
      <c r="AM56" s="193" t="n"/>
      <c r="AN56" s="193" t="n"/>
      <c r="AO56" s="193" t="n"/>
      <c r="AP56" s="131" t="n"/>
      <c r="AQ56" s="147" t="n"/>
    </row>
    <row r="57" ht="12.95" customHeight="1">
      <c r="A57" s="131" t="n"/>
      <c r="B57" s="145" t="inlineStr">
        <is>
          <t>Diputaciones Forales. Resultado de la regularización anual</t>
        </is>
      </c>
      <c r="C57" s="131" t="n"/>
      <c r="D57" s="132" t="n"/>
      <c r="E57" s="132" t="n"/>
      <c r="F57" s="132" t="n"/>
      <c r="G57" s="132" t="n"/>
      <c r="H57" s="132" t="n"/>
      <c r="I57" s="132" t="n"/>
      <c r="J57" s="132" t="n"/>
      <c r="K57" s="132" t="n"/>
      <c r="L57" s="132" t="n"/>
      <c r="M57" s="132" t="n"/>
      <c r="N57" s="139" t="n"/>
      <c r="O57" s="146" t="inlineStr">
        <is>
          <t xml:space="preserve"> Resultado anteriores declarac. mismo concep. ejerc. y per.</t>
        </is>
      </c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6" t="n">
        <v>70</v>
      </c>
      <c r="AH57" s="207" t="n"/>
      <c r="AI57" s="243" t="n"/>
      <c r="AJ57" s="243" t="n"/>
      <c r="AK57" s="243" t="n"/>
      <c r="AL57" s="243" t="n"/>
      <c r="AM57" s="243" t="n"/>
      <c r="AN57" s="243" t="n"/>
      <c r="AO57" s="244" t="n"/>
      <c r="AP57" s="131" t="n"/>
      <c r="AQ57" s="147" t="n"/>
    </row>
    <row r="58" ht="3" customHeight="1">
      <c r="A58" s="131" t="n"/>
      <c r="B58" s="145" t="n"/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31" t="n"/>
      <c r="L58" s="131" t="n"/>
      <c r="M58" s="131" t="n"/>
      <c r="N58" s="139" t="n"/>
      <c r="O58" s="137" t="n"/>
      <c r="P58" s="137" t="n"/>
      <c r="Q58" s="146" t="n"/>
      <c r="R58" s="146" t="n"/>
      <c r="S58" s="146" t="n"/>
      <c r="T58" s="146" t="n"/>
      <c r="U58" s="146" t="n"/>
      <c r="V58" s="146" t="n"/>
      <c r="W58" s="146" t="n"/>
      <c r="X58" s="146" t="n"/>
      <c r="Y58" s="146" t="n"/>
      <c r="Z58" s="146" t="n"/>
      <c r="AA58" s="146" t="n"/>
      <c r="AB58" s="146" t="n"/>
      <c r="AC58" s="146" t="n"/>
      <c r="AD58" s="146" t="n"/>
      <c r="AE58" s="146" t="n"/>
      <c r="AF58" s="146" t="n"/>
      <c r="AG58" s="143" t="n"/>
      <c r="AH58" s="142" t="n"/>
      <c r="AI58" s="142" t="n"/>
      <c r="AJ58" s="142" t="n"/>
      <c r="AK58" s="142" t="n"/>
      <c r="AL58" s="142" t="n"/>
      <c r="AM58" s="142" t="n"/>
      <c r="AN58" s="142" t="n"/>
      <c r="AO58" s="142" t="n"/>
      <c r="AP58" s="131" t="n"/>
      <c r="AQ58" s="147" t="n"/>
    </row>
    <row r="59" ht="12.95" customHeight="1">
      <c r="A59" s="131" t="n"/>
      <c r="B59" s="141" t="n"/>
      <c r="C59" s="140" t="n">
        <v>68</v>
      </c>
      <c r="D59" s="208" t="n"/>
      <c r="E59" s="243" t="n"/>
      <c r="F59" s="243" t="n"/>
      <c r="G59" s="243" t="n"/>
      <c r="H59" s="243" t="n"/>
      <c r="I59" s="244" t="n"/>
      <c r="J59" s="83" t="n"/>
      <c r="K59" s="127" t="inlineStr">
        <is>
          <t>euros</t>
        </is>
      </c>
      <c r="L59" s="131" t="n"/>
      <c r="M59" s="131" t="n"/>
      <c r="N59" s="139" t="n"/>
      <c r="O59" s="137" t="n"/>
      <c r="P59" s="137" t="n"/>
      <c r="Q59" s="138" t="inlineStr">
        <is>
          <t>Resultado de la liquidación (69 - 70)</t>
        </is>
      </c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6" t="n">
        <v>71</v>
      </c>
      <c r="AH59" s="207">
        <f>AH51</f>
        <v/>
      </c>
      <c r="AI59" s="243" t="n"/>
      <c r="AJ59" s="243" t="n"/>
      <c r="AK59" s="243" t="n"/>
      <c r="AL59" s="243" t="n"/>
      <c r="AM59" s="243" t="n"/>
      <c r="AN59" s="243" t="n"/>
      <c r="AO59" s="244" t="n"/>
      <c r="AP59" s="131" t="n"/>
      <c r="AQ59" s="147" t="n"/>
    </row>
    <row r="60" ht="3" customHeight="1">
      <c r="A60" s="131" t="n"/>
      <c r="B60" s="135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3" t="n"/>
      <c r="O60" s="132" t="n"/>
      <c r="P60" s="132" t="n"/>
      <c r="Q60" s="132" t="n"/>
      <c r="R60" s="132" t="n"/>
      <c r="S60" s="132" t="n"/>
      <c r="T60" s="132" t="n"/>
      <c r="U60" s="132" t="n"/>
      <c r="V60" s="132" t="n"/>
      <c r="W60" s="132" t="n"/>
      <c r="X60" s="132" t="n"/>
      <c r="Y60" s="132" t="n"/>
      <c r="Z60" s="132" t="n"/>
      <c r="AA60" s="132" t="n"/>
      <c r="AB60" s="132" t="n"/>
      <c r="AC60" s="132" t="n"/>
      <c r="AD60" s="132" t="n"/>
      <c r="AE60" s="132" t="n"/>
      <c r="AF60" s="132" t="n"/>
      <c r="AG60" s="132" t="n"/>
      <c r="AH60" s="132" t="n"/>
      <c r="AI60" s="132" t="n"/>
      <c r="AJ60" s="132" t="n"/>
      <c r="AK60" s="132" t="n"/>
      <c r="AL60" s="132" t="n"/>
      <c r="AM60" s="132" t="n"/>
      <c r="AN60" s="132" t="n"/>
      <c r="AO60" s="132" t="n"/>
      <c r="AP60" s="131" t="n"/>
      <c r="AQ60" s="147" t="n"/>
    </row>
    <row r="61" ht="3" customHeight="1" thickBot="1">
      <c r="A61" s="87" t="n"/>
      <c r="B61" s="87" t="n"/>
      <c r="C61" s="87" t="n"/>
      <c r="D61" s="87" t="n"/>
      <c r="E61" s="87" t="n"/>
      <c r="F61" s="87" t="n"/>
      <c r="G61" s="87" t="n"/>
      <c r="H61" s="87" t="n"/>
      <c r="I61" s="87" t="n"/>
      <c r="J61" s="87" t="n"/>
      <c r="K61" s="87" t="n"/>
      <c r="L61" s="87" t="n"/>
      <c r="M61" s="87" t="n"/>
      <c r="N61" s="87" t="n"/>
      <c r="O61" s="87" t="n"/>
      <c r="P61" s="87" t="n"/>
      <c r="Q61" s="87" t="n"/>
      <c r="R61" s="87" t="n"/>
      <c r="S61" s="87" t="n"/>
      <c r="T61" s="87" t="n"/>
      <c r="U61" s="87" t="n"/>
      <c r="V61" s="87" t="n"/>
      <c r="W61" s="131" t="n"/>
      <c r="X61" s="87" t="n"/>
      <c r="Y61" s="87" t="n"/>
      <c r="Z61" s="87" t="n"/>
      <c r="AA61" s="87" t="n"/>
      <c r="AB61" s="87" t="n"/>
      <c r="AC61" s="87" t="n"/>
      <c r="AD61" s="87" t="n"/>
      <c r="AE61" s="87" t="n"/>
      <c r="AF61" s="87" t="n"/>
      <c r="AG61" s="87" t="n"/>
      <c r="AH61" s="87" t="n"/>
      <c r="AI61" s="87" t="n"/>
      <c r="AJ61" s="87" t="n"/>
      <c r="AK61" s="87" t="n"/>
      <c r="AL61" s="87" t="n"/>
      <c r="AM61" s="87" t="n"/>
      <c r="AN61" s="87" t="n"/>
      <c r="AO61" s="87" t="n"/>
      <c r="AP61" s="87" t="n"/>
      <c r="AQ61" s="147" t="n"/>
    </row>
    <row r="62" ht="3" customHeight="1">
      <c r="A62" s="119" t="n"/>
      <c r="B62" s="130" t="n"/>
      <c r="C62" s="130" t="n"/>
      <c r="D62" s="130" t="n"/>
      <c r="E62" s="130" t="n"/>
      <c r="F62" s="130" t="n"/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29" t="n"/>
      <c r="W62" s="131" t="n"/>
      <c r="X62" s="119" t="n"/>
      <c r="Y62" s="130" t="n"/>
      <c r="Z62" s="130" t="n"/>
      <c r="AA62" s="130" t="n"/>
      <c r="AB62" s="130" t="n"/>
      <c r="AC62" s="130" t="n"/>
      <c r="AD62" s="130" t="n"/>
      <c r="AE62" s="130" t="n"/>
      <c r="AF62" s="130" t="n"/>
      <c r="AG62" s="130" t="n"/>
      <c r="AH62" s="130" t="n"/>
      <c r="AI62" s="130" t="n"/>
      <c r="AJ62" s="130" t="n"/>
      <c r="AK62" s="130" t="n"/>
      <c r="AL62" s="130" t="n"/>
      <c r="AM62" s="130" t="n"/>
      <c r="AN62" s="130" t="n"/>
      <c r="AO62" s="130" t="n"/>
      <c r="AP62" s="129" t="n"/>
      <c r="AQ62" s="147" t="n"/>
    </row>
    <row r="63" ht="12.95" customHeight="1">
      <c r="A63" s="101" t="n"/>
      <c r="B63" s="127" t="inlineStr">
        <is>
          <t xml:space="preserve"> Si resulta</t>
        </is>
      </c>
      <c r="C63" s="131" t="n"/>
      <c r="D63" s="131" t="n"/>
      <c r="E63" s="152" t="n"/>
      <c r="F63" s="111" t="n">
        <v>71</v>
      </c>
      <c r="G63" s="127" t="inlineStr">
        <is>
          <t xml:space="preserve">  negativa consignar el importe a compensar</t>
        </is>
      </c>
      <c r="H63" s="131" t="n"/>
      <c r="I63" s="131" t="n"/>
      <c r="J63" s="131" t="n"/>
      <c r="K63" s="131" t="n"/>
      <c r="L63" s="131" t="n"/>
      <c r="M63" s="131" t="n"/>
      <c r="N63" s="131" t="n"/>
      <c r="O63" s="131" t="n"/>
      <c r="P63" s="131" t="n"/>
      <c r="Q63" s="131" t="n"/>
      <c r="R63" s="131" t="n"/>
      <c r="S63" s="131" t="n"/>
      <c r="T63" s="131" t="n"/>
      <c r="U63" s="131" t="n"/>
      <c r="V63" s="124" t="n"/>
      <c r="W63" s="131" t="n"/>
      <c r="X63" s="101" t="n"/>
      <c r="Y63" s="131" t="inlineStr">
        <is>
          <t>Ingreso efectuado a favor del Tesoro Público, cuenta restring.</t>
        </is>
      </c>
      <c r="Z63" s="131" t="n"/>
      <c r="AA63" s="131" t="n"/>
      <c r="AB63" s="131" t="n"/>
      <c r="AC63" s="131" t="n"/>
      <c r="AD63" s="131" t="n"/>
      <c r="AE63" s="131" t="n"/>
      <c r="AF63" s="131" t="n"/>
      <c r="AG63" s="131" t="n"/>
      <c r="AH63" s="131" t="n"/>
      <c r="AI63" s="131" t="n"/>
      <c r="AJ63" s="131" t="n"/>
      <c r="AK63" s="131" t="n"/>
      <c r="AL63" s="131" t="n"/>
      <c r="AM63" s="131" t="n"/>
      <c r="AN63" s="131" t="n"/>
      <c r="AO63" s="131" t="n"/>
      <c r="AP63" s="124" t="n"/>
      <c r="AQ63" s="147" t="n"/>
    </row>
    <row r="64" ht="12.95" customHeight="1">
      <c r="A64" s="101" t="n"/>
      <c r="B64" s="131" t="n"/>
      <c r="C64" s="131" t="n"/>
      <c r="D64" s="131" t="n"/>
      <c r="E64" s="152" t="n"/>
      <c r="F64" s="152" t="n"/>
      <c r="G64" s="131" t="n"/>
      <c r="H64" s="131" t="n"/>
      <c r="I64" s="131" t="n"/>
      <c r="J64" s="131" t="n"/>
      <c r="K64" s="131" t="n"/>
      <c r="L64" s="131" t="n"/>
      <c r="M64" s="131" t="n"/>
      <c r="N64" s="131" t="n"/>
      <c r="O64" s="131" t="n"/>
      <c r="P64" s="131" t="n"/>
      <c r="Q64" s="131" t="n"/>
      <c r="R64" s="131" t="n"/>
      <c r="S64" s="131" t="n"/>
      <c r="T64" s="131" t="n"/>
      <c r="U64" s="131" t="n"/>
      <c r="V64" s="124" t="n"/>
      <c r="W64" s="131" t="n"/>
      <c r="X64" s="101" t="n"/>
      <c r="Y64" s="131" t="inlineStr">
        <is>
          <t>de colaboración en la recaudación de la AEAT autoliquidac.</t>
        </is>
      </c>
      <c r="Z64" s="131" t="n"/>
      <c r="AA64" s="131" t="n"/>
      <c r="AB64" s="131" t="n"/>
      <c r="AC64" s="131" t="n"/>
      <c r="AD64" s="131" t="n"/>
      <c r="AE64" s="131" t="n"/>
      <c r="AF64" s="131" t="n"/>
      <c r="AG64" s="131" t="n"/>
      <c r="AH64" s="131" t="n"/>
      <c r="AI64" s="131" t="n"/>
      <c r="AJ64" s="131" t="n"/>
      <c r="AK64" s="131" t="n"/>
      <c r="AL64" s="131" t="n"/>
      <c r="AM64" s="131" t="n"/>
      <c r="AN64" s="131" t="n"/>
      <c r="AO64" s="131" t="n"/>
      <c r="AP64" s="124" t="n"/>
      <c r="AQ64" s="147" t="n"/>
    </row>
    <row r="65" ht="3" customHeight="1" thickBot="1">
      <c r="A65" s="101" t="n"/>
      <c r="B65" s="131" t="n"/>
      <c r="C65" s="152" t="n"/>
      <c r="D65" s="152" t="n"/>
      <c r="E65" s="152" t="n"/>
      <c r="F65" s="152" t="n"/>
      <c r="G65" s="152" t="n"/>
      <c r="H65" s="152" t="n"/>
      <c r="I65" s="152" t="n"/>
      <c r="J65" s="152" t="n"/>
      <c r="K65" s="152" t="n"/>
      <c r="L65" s="152" t="n"/>
      <c r="M65" s="152" t="n"/>
      <c r="N65" s="152" t="n"/>
      <c r="O65" s="152" t="n"/>
      <c r="P65" s="152" t="n"/>
      <c r="Q65" s="152" t="n"/>
      <c r="R65" s="152" t="n"/>
      <c r="S65" s="152" t="n"/>
      <c r="T65" s="152" t="n"/>
      <c r="U65" s="131" t="n"/>
      <c r="V65" s="124" t="n"/>
      <c r="W65" s="131" t="n"/>
      <c r="X65" s="101" t="n"/>
      <c r="Y65" s="131" t="n"/>
      <c r="Z65" s="131" t="n"/>
      <c r="AA65" s="131" t="n"/>
      <c r="AB65" s="131" t="n"/>
      <c r="AC65" s="152" t="n"/>
      <c r="AD65" s="131" t="n"/>
      <c r="AE65" s="131" t="n"/>
      <c r="AF65" s="131" t="n"/>
      <c r="AG65" s="131" t="n"/>
      <c r="AH65" s="131" t="n"/>
      <c r="AI65" s="131" t="n"/>
      <c r="AJ65" s="131" t="n"/>
      <c r="AK65" s="131" t="n"/>
      <c r="AL65" s="131" t="n"/>
      <c r="AM65" s="131" t="n"/>
      <c r="AN65" s="131" t="n"/>
      <c r="AO65" s="131" t="n"/>
      <c r="AP65" s="124" t="n"/>
      <c r="AQ65" s="147" t="n"/>
    </row>
    <row r="66" ht="12.95" customHeight="1" thickBot="1">
      <c r="A66" s="101" t="n"/>
      <c r="B66" s="132" t="n"/>
      <c r="C66" s="229" t="n"/>
      <c r="D66" s="229" t="n"/>
      <c r="E66" s="111" t="n">
        <v>72</v>
      </c>
      <c r="F66" s="152" t="n"/>
      <c r="G66" s="110" t="inlineStr">
        <is>
          <t>C</t>
        </is>
      </c>
      <c r="H66" s="209">
        <f>IF(AH59&lt;0,ABS(AH59),"")</f>
        <v/>
      </c>
      <c r="I66" s="245" t="n"/>
      <c r="J66" s="245" t="n"/>
      <c r="K66" s="245" t="n"/>
      <c r="L66" s="245" t="n"/>
      <c r="M66" s="245" t="n"/>
      <c r="N66" s="245" t="n"/>
      <c r="O66" s="245" t="n"/>
      <c r="P66" s="246" t="n"/>
      <c r="Q66" s="83" t="n"/>
      <c r="R66" s="83" t="n"/>
      <c r="S66" s="229" t="n"/>
      <c r="T66" s="229" t="n"/>
      <c r="U66" s="132" t="n"/>
      <c r="V66" s="100" t="n"/>
      <c r="W66" s="132" t="n"/>
      <c r="X66" s="99" t="n"/>
      <c r="Y66" s="132" t="n"/>
      <c r="Z66" s="176" t="inlineStr">
        <is>
          <t>Importe:</t>
        </is>
      </c>
      <c r="AA66" s="132" t="n"/>
      <c r="AB66" s="132" t="n"/>
      <c r="AC66" s="229" t="n"/>
      <c r="AD66" s="126" t="inlineStr">
        <is>
          <t>I</t>
        </is>
      </c>
      <c r="AE66" s="209">
        <f>IF(AH59&gt;0,AH59,0)</f>
        <v/>
      </c>
      <c r="AF66" s="245" t="n"/>
      <c r="AG66" s="245" t="n"/>
      <c r="AH66" s="245" t="n"/>
      <c r="AI66" s="245" t="n"/>
      <c r="AJ66" s="245" t="n"/>
      <c r="AK66" s="245" t="n"/>
      <c r="AL66" s="246" t="n"/>
      <c r="AM66" s="83" t="n"/>
      <c r="AN66" s="132" t="n"/>
      <c r="AO66" s="132" t="n"/>
      <c r="AP66" s="124" t="n"/>
      <c r="AQ66" s="147" t="n"/>
    </row>
    <row r="67" ht="3" customHeight="1" thickBot="1">
      <c r="A67" s="92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91" t="n"/>
      <c r="W67" s="132" t="n"/>
      <c r="X67" s="99" t="n"/>
      <c r="Y67" s="132" t="n"/>
      <c r="Z67" s="132" t="n"/>
      <c r="AA67" s="132" t="n"/>
      <c r="AB67" s="132" t="n"/>
      <c r="AC67" s="229" t="n"/>
      <c r="AD67" s="132" t="n"/>
      <c r="AE67" s="132" t="n"/>
      <c r="AF67" s="132" t="n"/>
      <c r="AG67" s="132" t="n"/>
      <c r="AH67" s="132" t="n"/>
      <c r="AI67" s="132" t="n"/>
      <c r="AJ67" s="132" t="n"/>
      <c r="AK67" s="132" t="n"/>
      <c r="AL67" s="132" t="n"/>
      <c r="AM67" s="132" t="n"/>
      <c r="AN67" s="132" t="n"/>
      <c r="AO67" s="132" t="n"/>
      <c r="AP67" s="124" t="n"/>
      <c r="AQ67" s="147" t="n"/>
    </row>
    <row r="68" ht="12.95" customHeight="1" thickBot="1">
      <c r="A68" s="119" t="n"/>
      <c r="B68" s="130" t="n"/>
      <c r="C68" s="130" t="n"/>
      <c r="D68" s="130" t="n"/>
      <c r="E68" s="130" t="n"/>
      <c r="F68" s="130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30" t="n"/>
      <c r="P68" s="130" t="n"/>
      <c r="Q68" s="130" t="n"/>
      <c r="R68" s="130" t="n"/>
      <c r="S68" s="130" t="n"/>
      <c r="T68" s="130" t="n"/>
      <c r="U68" s="130" t="n"/>
      <c r="V68" s="129" t="n"/>
      <c r="W68" s="131" t="n"/>
      <c r="X68" s="101" t="n"/>
      <c r="Y68" s="131" t="n"/>
      <c r="Z68" s="131" t="n"/>
      <c r="AA68" s="131" t="n"/>
      <c r="AB68" s="131" t="n"/>
      <c r="AC68" s="131" t="n"/>
      <c r="AD68" s="131" t="n"/>
      <c r="AE68" s="131" t="n"/>
      <c r="AF68" s="152" t="n"/>
      <c r="AG68" s="217" t="inlineStr">
        <is>
          <t>Código IBAN</t>
        </is>
      </c>
      <c r="AH68" s="152" t="n"/>
      <c r="AI68" s="152" t="n"/>
      <c r="AJ68" s="152" t="n"/>
      <c r="AK68" s="152" t="n"/>
      <c r="AL68" s="131" t="n"/>
      <c r="AM68" s="131" t="n"/>
      <c r="AN68" s="131" t="n"/>
      <c r="AO68" s="131" t="n"/>
      <c r="AP68" s="124" t="n"/>
      <c r="AQ68" s="147" t="n"/>
    </row>
    <row r="69" ht="12.95" customHeight="1" thickBot="1">
      <c r="A69" s="101" t="n"/>
      <c r="B69" s="132" t="n"/>
      <c r="C69" s="132" t="n"/>
      <c r="D69" s="132" t="n"/>
      <c r="E69" s="132" t="n"/>
      <c r="F69" s="132" t="n"/>
      <c r="G69" s="138" t="inlineStr">
        <is>
          <t>Sin actividad</t>
        </is>
      </c>
      <c r="H69" s="83" t="n"/>
      <c r="I69" s="83" t="n"/>
      <c r="J69" s="83" t="n"/>
      <c r="K69" s="83" t="n"/>
      <c r="L69" s="83" t="n"/>
      <c r="M69" s="83" t="n"/>
      <c r="N69" s="120" t="n"/>
      <c r="O69" s="247">
        <f>IF(AH59=0,"X","")</f>
        <v/>
      </c>
      <c r="P69" s="246" t="n"/>
      <c r="Q69" s="132" t="n"/>
      <c r="R69" s="132" t="n"/>
      <c r="S69" s="132" t="n"/>
      <c r="T69" s="132" t="n"/>
      <c r="U69" s="132" t="n"/>
      <c r="V69" s="100" t="n"/>
      <c r="W69" s="132" t="n"/>
      <c r="X69" s="99" t="n"/>
      <c r="Y69" s="210">
        <f>IF(AE66&lt;&gt;0,'[1]DATOS FISCALES'!C7,"")</f>
        <v/>
      </c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43" t="n"/>
      <c r="AJ69" s="243" t="n"/>
      <c r="AK69" s="243" t="n"/>
      <c r="AL69" s="243" t="n"/>
      <c r="AM69" s="243" t="n"/>
      <c r="AN69" s="243" t="n"/>
      <c r="AO69" s="244" t="n"/>
      <c r="AP69" s="124" t="n"/>
      <c r="AQ69" s="147" t="n"/>
    </row>
    <row r="70" ht="3" customHeight="1" thickBot="1">
      <c r="A70" s="9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91" t="n"/>
      <c r="W70" s="132" t="n"/>
      <c r="X70" s="89" t="n"/>
      <c r="Y70" s="88" t="n"/>
      <c r="Z70" s="88" t="n"/>
      <c r="AA70" s="88" t="n"/>
      <c r="AB70" s="88" t="n"/>
      <c r="AC70" s="88" t="n"/>
      <c r="AD70" s="88" t="n"/>
      <c r="AE70" s="88" t="n"/>
      <c r="AF70" s="88" t="n"/>
      <c r="AG70" s="88" t="n"/>
      <c r="AH70" s="88" t="n"/>
      <c r="AI70" s="88" t="n"/>
      <c r="AJ70" s="88" t="n"/>
      <c r="AK70" s="88" t="n"/>
      <c r="AL70" s="88" t="n"/>
      <c r="AM70" s="88" t="n"/>
      <c r="AN70" s="88" t="n"/>
      <c r="AO70" s="88" t="n"/>
      <c r="AP70" s="86" t="n"/>
      <c r="AQ70" s="147" t="n"/>
    </row>
    <row r="71" ht="12.95" customHeight="1">
      <c r="A71" s="119" t="n"/>
      <c r="B71" s="130" t="inlineStr">
        <is>
          <t xml:space="preserve">Manifiesto a esa Delegación que el importe a devolver reseñado deseo </t>
        </is>
      </c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8" t="n"/>
      <c r="W71" s="132" t="n"/>
      <c r="X71" s="117" t="n"/>
      <c r="Y71" s="130" t="inlineStr">
        <is>
          <t>Si esta autoliquidación es complementaria de otra autoliquidad.</t>
        </is>
      </c>
      <c r="Z71" s="115" t="n"/>
      <c r="AA71" s="115" t="n"/>
      <c r="AB71" s="115" t="n"/>
      <c r="AC71" s="115" t="n"/>
      <c r="AD71" s="115" t="n"/>
      <c r="AE71" s="115" t="n"/>
      <c r="AF71" s="115" t="n"/>
      <c r="AG71" s="115" t="n"/>
      <c r="AH71" s="115" t="n"/>
      <c r="AI71" s="115" t="n"/>
      <c r="AJ71" s="115" t="n"/>
      <c r="AK71" s="115" t="n"/>
      <c r="AL71" s="115" t="n"/>
      <c r="AM71" s="115" t="n"/>
      <c r="AN71" s="115" t="n"/>
      <c r="AO71" s="115" t="n"/>
      <c r="AP71" s="129" t="n"/>
      <c r="AQ71" s="147" t="n"/>
    </row>
    <row r="72" ht="12.95" customHeight="1">
      <c r="A72" s="101" t="n"/>
      <c r="B72" s="131" t="inlineStr">
        <is>
          <t>me  sea abonado  mediante  transferencia  bancaria  a  la cuenta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32" t="n"/>
      <c r="K72" s="132" t="n"/>
      <c r="L72" s="132" t="n"/>
      <c r="M72" s="132" t="n"/>
      <c r="N72" s="132" t="n"/>
      <c r="O72" s="132" t="n"/>
      <c r="P72" s="132" t="n"/>
      <c r="Q72" s="132" t="n"/>
      <c r="R72" s="132" t="n"/>
      <c r="S72" s="132" t="n"/>
      <c r="T72" s="132" t="n"/>
      <c r="U72" s="132" t="n"/>
      <c r="V72" s="100" t="n"/>
      <c r="W72" s="132" t="n"/>
      <c r="X72" s="99" t="n"/>
      <c r="Y72" s="131" t="inlineStr">
        <is>
          <t>anterior correspondiente al mismo concepto ejercicio y período</t>
        </is>
      </c>
      <c r="Z72" s="132" t="n"/>
      <c r="AA72" s="132" t="n"/>
      <c r="AB72" s="132" t="n"/>
      <c r="AC72" s="132" t="n"/>
      <c r="AD72" s="132" t="n"/>
      <c r="AE72" s="132" t="n"/>
      <c r="AF72" s="132" t="n"/>
      <c r="AG72" s="132" t="n"/>
      <c r="AH72" s="132" t="n"/>
      <c r="AI72" s="132" t="n"/>
      <c r="AJ72" s="132" t="n"/>
      <c r="AK72" s="132" t="n"/>
      <c r="AL72" s="132" t="n"/>
      <c r="AM72" s="132" t="n"/>
      <c r="AN72" s="132" t="n"/>
      <c r="AO72" s="132" t="n"/>
      <c r="AP72" s="124" t="n"/>
      <c r="AQ72" s="147" t="n"/>
    </row>
    <row r="73" ht="12.95" customHeight="1">
      <c r="A73" s="101" t="n"/>
      <c r="B73" s="131" t="inlineStr">
        <is>
          <t>indicada de la que soy titular:</t>
        </is>
      </c>
      <c r="C73" s="132" t="n"/>
      <c r="D73" s="132" t="n"/>
      <c r="E73" s="132" t="n"/>
      <c r="F73" s="132" t="n"/>
      <c r="G73" s="132" t="n"/>
      <c r="H73" s="132" t="n"/>
      <c r="I73" s="132" t="n"/>
      <c r="J73" s="132" t="n"/>
      <c r="K73" s="132" t="n"/>
      <c r="L73" s="132" t="n"/>
      <c r="M73" s="132" t="n"/>
      <c r="N73" s="132" t="n"/>
      <c r="O73" s="132" t="n"/>
      <c r="P73" s="132" t="n"/>
      <c r="Q73" s="132" t="n"/>
      <c r="R73" s="132" t="n"/>
      <c r="S73" s="132" t="n"/>
      <c r="T73" s="132" t="n"/>
      <c r="U73" s="132" t="n"/>
      <c r="V73" s="100" t="n"/>
      <c r="W73" s="132" t="n"/>
      <c r="X73" s="99" t="n"/>
      <c r="Y73" s="131" t="inlineStr">
        <is>
          <t>indíquelo marcando con una "X" esta casilla.</t>
        </is>
      </c>
      <c r="Z73" s="132" t="n"/>
      <c r="AA73" s="132" t="n"/>
      <c r="AB73" s="132" t="n"/>
      <c r="AC73" s="132" t="n"/>
      <c r="AD73" s="132" t="n"/>
      <c r="AE73" s="132" t="n"/>
      <c r="AF73" s="132" t="n"/>
      <c r="AG73" s="132" t="n"/>
      <c r="AH73" s="132" t="n"/>
      <c r="AI73" s="132" t="n"/>
      <c r="AJ73" s="132" t="n"/>
      <c r="AK73" s="132" t="n"/>
      <c r="AL73" s="132" t="n"/>
      <c r="AM73" s="132" t="n"/>
      <c r="AN73" s="132" t="n"/>
      <c r="AO73" s="132" t="n"/>
      <c r="AP73" s="124" t="n"/>
      <c r="AQ73" s="147" t="n"/>
    </row>
    <row r="74" ht="3" customHeight="1" thickBot="1">
      <c r="A74" s="101" t="n"/>
      <c r="B74" s="113" t="n"/>
      <c r="C74" s="132" t="n"/>
      <c r="D74" s="132" t="n"/>
      <c r="E74" s="132" t="n"/>
      <c r="F74" s="132" t="n"/>
      <c r="G74" s="132" t="n"/>
      <c r="H74" s="132" t="n"/>
      <c r="I74" s="132" t="n"/>
      <c r="J74" s="132" t="n"/>
      <c r="K74" s="132" t="n"/>
      <c r="L74" s="132" t="n"/>
      <c r="M74" s="132" t="n"/>
      <c r="N74" s="132" t="n"/>
      <c r="O74" s="132" t="n"/>
      <c r="P74" s="132" t="n"/>
      <c r="Q74" s="132" t="n"/>
      <c r="R74" s="132" t="n"/>
      <c r="S74" s="132" t="n"/>
      <c r="T74" s="132" t="n"/>
      <c r="U74" s="132" t="n"/>
      <c r="V74" s="100" t="n"/>
      <c r="W74" s="132" t="n"/>
      <c r="X74" s="101" t="n"/>
      <c r="Y74" s="131" t="n"/>
      <c r="Z74" s="131" t="n"/>
      <c r="AA74" s="131" t="n"/>
      <c r="AB74" s="131" t="n"/>
      <c r="AC74" s="131" t="n"/>
      <c r="AD74" s="131" t="n"/>
      <c r="AE74" s="131" t="n"/>
      <c r="AF74" s="131" t="n"/>
      <c r="AG74" s="131" t="n"/>
      <c r="AH74" s="131" t="n"/>
      <c r="AI74" s="131" t="n"/>
      <c r="AJ74" s="131" t="n"/>
      <c r="AK74" s="131" t="n"/>
      <c r="AL74" s="131" t="n"/>
      <c r="AM74" s="131" t="n"/>
      <c r="AN74" s="131" t="n"/>
      <c r="AO74" s="131" t="n"/>
      <c r="AP74" s="124" t="n"/>
      <c r="AQ74" s="147" t="n"/>
    </row>
    <row r="75" ht="12.95" customHeight="1" thickBot="1">
      <c r="A75" s="101" t="n"/>
      <c r="B75" s="138" t="inlineStr">
        <is>
          <t xml:space="preserve">  Importe:</t>
        </is>
      </c>
      <c r="C75" s="132" t="n"/>
      <c r="D75" s="132" t="n"/>
      <c r="E75" s="132" t="n"/>
      <c r="F75" s="111" t="n">
        <v>73</v>
      </c>
      <c r="G75" s="132" t="n"/>
      <c r="H75" s="110" t="inlineStr">
        <is>
          <t>D</t>
        </is>
      </c>
      <c r="I75" s="203" t="n"/>
      <c r="J75" s="245" t="n"/>
      <c r="K75" s="245" t="n"/>
      <c r="L75" s="245" t="n"/>
      <c r="M75" s="245" t="n"/>
      <c r="N75" s="245" t="n"/>
      <c r="O75" s="245" t="n"/>
      <c r="P75" s="245" t="n"/>
      <c r="Q75" s="246" t="n"/>
      <c r="R75" s="83" t="n"/>
      <c r="S75" s="83" t="n"/>
      <c r="T75" s="132" t="n"/>
      <c r="U75" s="132" t="n"/>
      <c r="V75" s="100" t="n"/>
      <c r="W75" s="132" t="n"/>
      <c r="X75" s="99" t="n"/>
      <c r="Y75" s="132" t="n"/>
      <c r="Z75" s="132" t="n"/>
      <c r="AA75" s="109" t="n"/>
      <c r="AB75" s="108" t="n"/>
      <c r="AC75" s="137" t="inlineStr">
        <is>
          <t>Autoliquidación complementaria</t>
        </is>
      </c>
      <c r="AD75" s="131" t="n"/>
      <c r="AE75" s="131" t="n"/>
      <c r="AF75" s="132" t="n"/>
      <c r="AG75" s="132" t="n"/>
      <c r="AH75" s="132" t="n"/>
      <c r="AI75" s="132" t="n"/>
      <c r="AJ75" s="132" t="n"/>
      <c r="AK75" s="132" t="n"/>
      <c r="AL75" s="132" t="n"/>
      <c r="AM75" s="132" t="n"/>
      <c r="AN75" s="132" t="n"/>
      <c r="AO75" s="132" t="n"/>
      <c r="AP75" s="124" t="n"/>
      <c r="AQ75" s="147" t="n"/>
    </row>
    <row r="76" ht="12.95" customHeight="1">
      <c r="A76" s="101" t="n"/>
      <c r="B76" s="176" t="n"/>
      <c r="C76" s="131" t="n"/>
      <c r="D76" s="132" t="n"/>
      <c r="E76" s="132" t="n"/>
      <c r="F76" s="180" t="n"/>
      <c r="G76" s="132" t="n"/>
      <c r="H76" s="104" t="n"/>
      <c r="I76" s="229" t="n"/>
      <c r="J76" s="229" t="n"/>
      <c r="K76" s="229" t="n"/>
      <c r="L76" s="229" t="n"/>
      <c r="M76" s="229" t="n"/>
      <c r="N76" s="229" t="n"/>
      <c r="O76" s="229" t="n"/>
      <c r="P76" s="229" t="n"/>
      <c r="Q76" s="229" t="n"/>
      <c r="R76" s="229" t="n"/>
      <c r="S76" s="229" t="n"/>
      <c r="T76" s="132" t="n"/>
      <c r="U76" s="132" t="n"/>
      <c r="V76" s="100" t="n"/>
      <c r="W76" s="132" t="n"/>
      <c r="X76" s="99" t="n"/>
      <c r="Y76" s="131" t="inlineStr">
        <is>
          <t>En este caso consigne a continuación el número de justificante</t>
        </is>
      </c>
      <c r="Z76" s="132" t="n"/>
      <c r="AA76" s="132" t="n"/>
      <c r="AB76" s="132" t="n"/>
      <c r="AC76" s="132" t="n"/>
      <c r="AD76" s="132" t="n"/>
      <c r="AE76" s="132" t="n"/>
      <c r="AF76" s="132" t="n"/>
      <c r="AG76" s="132" t="n"/>
      <c r="AH76" s="132" t="n"/>
      <c r="AI76" s="132" t="n"/>
      <c r="AJ76" s="132" t="n"/>
      <c r="AK76" s="132" t="n"/>
      <c r="AL76" s="132" t="n"/>
      <c r="AM76" s="132" t="n"/>
      <c r="AN76" s="132" t="n"/>
      <c r="AO76" s="132" t="n"/>
      <c r="AP76" s="124" t="n"/>
      <c r="AQ76" s="147" t="n"/>
    </row>
    <row r="77" ht="12.95" customHeight="1">
      <c r="A77" s="101" t="n"/>
      <c r="B77" s="131" t="n"/>
      <c r="C77" s="131" t="n"/>
      <c r="D77" s="131" t="n"/>
      <c r="E77" s="131" t="n"/>
      <c r="F77" s="131" t="n"/>
      <c r="G77" s="131" t="n"/>
      <c r="H77" s="131" t="n"/>
      <c r="I77" s="131" t="n"/>
      <c r="J77" s="131" t="n"/>
      <c r="K77" s="217" t="inlineStr">
        <is>
          <t>Código IBAN</t>
        </is>
      </c>
      <c r="L77" s="131" t="n"/>
      <c r="M77" s="131" t="n"/>
      <c r="N77" s="131" t="n"/>
      <c r="O77" s="131" t="n"/>
      <c r="P77" s="131" t="n"/>
      <c r="Q77" s="131" t="n"/>
      <c r="R77" s="131" t="n"/>
      <c r="S77" s="131" t="n"/>
      <c r="T77" s="131" t="n"/>
      <c r="U77" s="131" t="n"/>
      <c r="V77" s="124" t="n"/>
      <c r="W77" s="131" t="n"/>
      <c r="X77" s="101" t="n"/>
      <c r="Y77" s="131" t="inlineStr">
        <is>
          <t>identificativo de la declaración anterior</t>
        </is>
      </c>
      <c r="Z77" s="131" t="n"/>
      <c r="AA77" s="131" t="n"/>
      <c r="AB77" s="131" t="n"/>
      <c r="AC77" s="131" t="n"/>
      <c r="AD77" s="131" t="n"/>
      <c r="AE77" s="131" t="n"/>
      <c r="AF77" s="131" t="n"/>
      <c r="AG77" s="131" t="n"/>
      <c r="AH77" s="131" t="n"/>
      <c r="AI77" s="131" t="n"/>
      <c r="AJ77" s="131" t="n"/>
      <c r="AK77" s="131" t="n"/>
      <c r="AL77" s="131" t="n"/>
      <c r="AM77" s="131" t="n"/>
      <c r="AN77" s="131" t="n"/>
      <c r="AO77" s="131" t="n"/>
      <c r="AP77" s="124" t="n"/>
      <c r="AQ77" s="147" t="n"/>
    </row>
    <row r="78" ht="12.95" customHeight="1">
      <c r="A78" s="101" t="n"/>
      <c r="B78" s="210">
        <f>IF(I75&lt;&gt;0,'[1]DATOS FISCALES'!C7,"")</f>
        <v/>
      </c>
      <c r="C78" s="243" t="n"/>
      <c r="D78" s="243" t="n"/>
      <c r="E78" s="243" t="n"/>
      <c r="F78" s="243" t="n"/>
      <c r="G78" s="243" t="n"/>
      <c r="H78" s="243" t="n"/>
      <c r="I78" s="243" t="n"/>
      <c r="J78" s="243" t="n"/>
      <c r="K78" s="243" t="n"/>
      <c r="L78" s="243" t="n"/>
      <c r="M78" s="243" t="n"/>
      <c r="N78" s="243" t="n"/>
      <c r="O78" s="243" t="n"/>
      <c r="P78" s="243" t="n"/>
      <c r="Q78" s="243" t="n"/>
      <c r="R78" s="243" t="n"/>
      <c r="S78" s="243" t="n"/>
      <c r="T78" s="243" t="n"/>
      <c r="U78" s="244" t="n"/>
      <c r="V78" s="100" t="n"/>
      <c r="W78" s="132" t="n"/>
      <c r="X78" s="99" t="n"/>
      <c r="Y78" s="132" t="n"/>
      <c r="Z78" s="132" t="inlineStr">
        <is>
          <t>Nº de justificante</t>
        </is>
      </c>
      <c r="AA78" s="132" t="n"/>
      <c r="AB78" s="132" t="n"/>
      <c r="AC78" s="132" t="n"/>
      <c r="AD78" s="132" t="n"/>
      <c r="AE78" s="132" t="n"/>
      <c r="AF78" s="229" t="n"/>
      <c r="AG78" s="96" t="n"/>
      <c r="AH78" s="95" t="n"/>
      <c r="AI78" s="95" t="n"/>
      <c r="AJ78" s="95" t="n"/>
      <c r="AK78" s="95" t="n"/>
      <c r="AL78" s="95" t="n"/>
      <c r="AM78" s="95" t="n"/>
      <c r="AN78" s="95" t="n"/>
      <c r="AO78" s="94" t="n"/>
      <c r="AP78" s="124" t="n"/>
      <c r="AQ78" s="147" t="n"/>
    </row>
    <row r="79" ht="3" customHeight="1" thickBot="1">
      <c r="A79" s="92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91" t="n"/>
      <c r="W79" s="132" t="n"/>
      <c r="X79" s="89" t="n"/>
      <c r="Y79" s="88" t="n"/>
      <c r="Z79" s="87" t="n"/>
      <c r="AA79" s="87" t="n"/>
      <c r="AB79" s="87" t="n"/>
      <c r="AC79" s="87" t="n"/>
      <c r="AD79" s="87" t="n"/>
      <c r="AE79" s="87" t="n"/>
      <c r="AF79" s="87" t="n"/>
      <c r="AG79" s="87" t="n"/>
      <c r="AH79" s="87" t="n"/>
      <c r="AI79" s="87" t="n"/>
      <c r="AJ79" s="87" t="n"/>
      <c r="AK79" s="87" t="n"/>
      <c r="AL79" s="87" t="n"/>
      <c r="AM79" s="87" t="n"/>
      <c r="AN79" s="87" t="n"/>
      <c r="AO79" s="87" t="n"/>
      <c r="AP79" s="86" t="n"/>
      <c r="AQ79" s="147" t="n"/>
    </row>
    <row r="80">
      <c r="A80" s="83" t="n"/>
      <c r="B80" s="83" t="n"/>
      <c r="C80" s="83" t="n"/>
      <c r="D80" s="83" t="n"/>
      <c r="E80" s="83" t="n"/>
      <c r="F80" s="83" t="n"/>
      <c r="AP80" s="83" t="n"/>
      <c r="AQ80" s="83" t="n"/>
    </row>
  </sheetData>
  <mergeCells count="79">
    <mergeCell ref="O13:Y13"/>
    <mergeCell ref="AH12:AO12"/>
    <mergeCell ref="O15:Y15"/>
    <mergeCell ref="AE66:AL66"/>
    <mergeCell ref="AH14:AO14"/>
    <mergeCell ref="AB25:AF25"/>
    <mergeCell ref="AH43:AO43"/>
    <mergeCell ref="AB27:AF27"/>
    <mergeCell ref="O16:Y16"/>
    <mergeCell ref="AB11:AF11"/>
    <mergeCell ref="B78:U78"/>
    <mergeCell ref="D59:I59"/>
    <mergeCell ref="AH26:AO26"/>
    <mergeCell ref="O17:Y17"/>
    <mergeCell ref="O11:Y11"/>
    <mergeCell ref="AH16:AO16"/>
    <mergeCell ref="AH25:AO25"/>
    <mergeCell ref="AH57:AO57"/>
    <mergeCell ref="B45:AA45"/>
    <mergeCell ref="AM2:AO3"/>
    <mergeCell ref="AB32:AF32"/>
    <mergeCell ref="AH52:AO52"/>
    <mergeCell ref="AB26:AF26"/>
    <mergeCell ref="AH42:AO42"/>
    <mergeCell ref="AH20:AO20"/>
    <mergeCell ref="O52:Q52"/>
    <mergeCell ref="AH29:AO29"/>
    <mergeCell ref="AH44:AO44"/>
    <mergeCell ref="AH31:AO31"/>
    <mergeCell ref="AH59:AO59"/>
    <mergeCell ref="O21:Y21"/>
    <mergeCell ref="Y69:AO69"/>
    <mergeCell ref="AH15:AO15"/>
    <mergeCell ref="AH46:AO46"/>
    <mergeCell ref="AH51:AO51"/>
    <mergeCell ref="AH30:AO30"/>
    <mergeCell ref="AB19:AF19"/>
    <mergeCell ref="AH32:AO32"/>
    <mergeCell ref="AB28:AF28"/>
    <mergeCell ref="AB30:AF30"/>
    <mergeCell ref="O19:Y19"/>
    <mergeCell ref="AB20:AF20"/>
    <mergeCell ref="AB14:AF14"/>
    <mergeCell ref="AB29:AF29"/>
    <mergeCell ref="AH18:AO18"/>
    <mergeCell ref="AH33:AO33"/>
    <mergeCell ref="B5:H5"/>
    <mergeCell ref="AH17:AO17"/>
    <mergeCell ref="AH53:AO53"/>
    <mergeCell ref="AH35:AO35"/>
    <mergeCell ref="O20:Y20"/>
    <mergeCell ref="H66:P66"/>
    <mergeCell ref="AB46:AF46"/>
    <mergeCell ref="AH19:AO19"/>
    <mergeCell ref="AH55:AO55"/>
    <mergeCell ref="AB48:AF48"/>
    <mergeCell ref="AH39:AO39"/>
    <mergeCell ref="AH48:AO48"/>
    <mergeCell ref="AH11:AO11"/>
    <mergeCell ref="AH45:AO45"/>
    <mergeCell ref="AH37:AO37"/>
    <mergeCell ref="AH13:AO13"/>
    <mergeCell ref="AH21:AO21"/>
    <mergeCell ref="I75:Q75"/>
    <mergeCell ref="O18:Y18"/>
    <mergeCell ref="AB45:AF45"/>
    <mergeCell ref="AH23:AO23"/>
    <mergeCell ref="AH28:AO28"/>
    <mergeCell ref="AB31:AF31"/>
    <mergeCell ref="O69:P69"/>
    <mergeCell ref="AE2:AG3"/>
    <mergeCell ref="AB12:AF12"/>
    <mergeCell ref="AH34:AO34"/>
    <mergeCell ref="AH27:AO27"/>
    <mergeCell ref="O12:Y12"/>
    <mergeCell ref="AB13:AF13"/>
    <mergeCell ref="J5:AJ5"/>
    <mergeCell ref="O14:Y14"/>
    <mergeCell ref="AB18:AF18"/>
  </mergeCells>
  <conditionalFormatting sqref="I75:Q75 O12:Y15 O17:Y21 AB12:AF14 AB18:AF20 AB27:AF27 AB30:AF32 AE66:AL66 AH12:AO15 AH17:AO21 AH27:AO27 AH30:AO32 AH42:AO42 AH53:AO53">
    <cfRule type="cellIs" priority="7" operator="equal" dxfId="0" stopIfTrue="1">
      <formula>0</formula>
    </cfRule>
  </conditionalFormatting>
  <conditionalFormatting sqref="AE2:AG3">
    <cfRule type="cellIs" priority="8" operator="equal" dxfId="0" stopIfTrue="1">
      <formula>1900</formula>
    </cfRule>
  </conditionalFormatting>
  <conditionalFormatting sqref="AH33:AO33">
    <cfRule type="cellIs" priority="6" operator="equal" dxfId="0" stopIfTrue="1">
      <formula>0</formula>
    </cfRule>
  </conditionalFormatting>
  <conditionalFormatting sqref="AH46:AO46">
    <cfRule type="cellIs" priority="5" operator="equal" dxfId="0" stopIfTrue="1">
      <formula>0</formula>
    </cfRule>
  </conditionalFormatting>
  <conditionalFormatting sqref="AB46:AF46">
    <cfRule type="cellIs" priority="4" operator="equal" dxfId="0" stopIfTrue="1">
      <formula>0</formula>
    </cfRule>
  </conditionalFormatting>
  <conditionalFormatting sqref="AB48:AF48">
    <cfRule type="cellIs" priority="3" operator="equal" dxfId="0" stopIfTrue="1">
      <formula>0</formula>
    </cfRule>
  </conditionalFormatting>
  <conditionalFormatting sqref="AH48:AO48">
    <cfRule type="cellIs" priority="2" operator="equal" dxfId="0" stopIfTrue="1">
      <formula>0</formula>
    </cfRule>
  </conditionalFormatting>
  <conditionalFormatting sqref="AH43:AO44">
    <cfRule type="cellIs" priority="1" operator="equal" dxfId="0" stopIfTrue="1">
      <formula>0</formula>
    </cfRule>
  </conditionalFormatting>
  <dataValidations count="1">
    <dataValidation sqref="AM2:AO3" showDropDown="0" showInputMessage="1" showErrorMessage="1" allowBlank="1" type="list">
      <formula1>trimestres</formula1>
    </dataValidation>
  </dataValidations>
  <printOptions horizontalCentered="1"/>
  <pageMargins left="0.3149606299212598" right="0.3149606299212598" top="0.3937007874015748" bottom="0.3937007874015748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1"/>
  <sheetViews>
    <sheetView workbookViewId="0">
      <selection activeCell="A5" sqref="A5"/>
    </sheetView>
  </sheetViews>
  <sheetFormatPr baseColWidth="10" defaultColWidth="14.42578125" defaultRowHeight="15" customHeight="1"/>
  <cols>
    <col width="10.7109375" customWidth="1" style="77" min="1" max="10"/>
    <col width="12" customWidth="1" style="77" min="11" max="11"/>
    <col width="13" customWidth="1" style="77" min="12" max="12"/>
    <col width="11.42578125" customWidth="1" style="77" min="13" max="13"/>
    <col width="13" customWidth="1" style="77" min="14" max="14"/>
    <col width="12" customWidth="1" style="77" min="15" max="15"/>
    <col width="11.42578125" customWidth="1" style="77" min="16" max="16"/>
    <col width="10.7109375" customWidth="1" style="77" min="17" max="26"/>
    <col width="14.42578125" customWidth="1" style="77" min="27" max="16384"/>
  </cols>
  <sheetData>
    <row r="1">
      <c r="A1" s="76" t="inlineStr">
        <is>
          <t>EXERCICIS</t>
        </is>
      </c>
      <c r="K1" s="248" t="n"/>
      <c r="L1" s="248" t="n"/>
      <c r="M1" s="248" t="n"/>
      <c r="N1" s="248" t="n"/>
      <c r="O1" s="248" t="n"/>
      <c r="P1" s="248" t="n"/>
    </row>
    <row r="2" ht="15.75" customHeight="1">
      <c r="A2" s="195" t="inlineStr">
        <is>
          <t>1- Presenta el model 303. Quin seria el dia límit per presentar-ho i a qui?</t>
        </is>
      </c>
      <c r="K2" s="248" t="n"/>
      <c r="L2" s="248" t="n"/>
      <c r="M2" s="248" t="n"/>
      <c r="N2" s="248" t="n"/>
      <c r="O2" s="248" t="n"/>
      <c r="P2" s="248" t="n"/>
    </row>
    <row r="3" ht="15.75" customHeight="1">
      <c r="A3" s="195" t="inlineStr">
        <is>
          <t>2- Presenta el model 111 sabent que les nòmines ascendeixen a 123.962,55€, són 74 treballadors i l'IRPF corresponent és del 2%.  Quin seria el dia límit per presentar-ho i a qui?</t>
        </is>
      </c>
      <c r="K3" s="248" t="n"/>
      <c r="L3" s="248" t="n"/>
      <c r="M3" s="248" t="n"/>
      <c r="N3" s="248" t="n"/>
      <c r="O3" s="248" t="n"/>
      <c r="P3" s="248" t="n"/>
    </row>
    <row r="4" ht="15.75" customHeight="1">
      <c r="A4" s="230" t="inlineStr">
        <is>
          <t>3- S'hauria de presentar el model 115, 347, 349, 390, 200/202, 180 i 190?  Quin seria el dia límit per presentar cada model?</t>
        </is>
      </c>
      <c r="K4" s="248" t="n"/>
      <c r="L4" s="248" t="n"/>
      <c r="M4" s="248" t="n"/>
      <c r="N4" s="248" t="n"/>
      <c r="O4" s="248" t="n"/>
      <c r="P4" s="248" t="n"/>
    </row>
    <row r="5" ht="15.75" customHeight="1">
      <c r="A5" s="195" t="inlineStr">
        <is>
          <t>4- S'hauria de presentar Intrastat? Quin seria el dia límit per presentar-ho i a qui?</t>
        </is>
      </c>
      <c r="K5" s="248" t="n"/>
      <c r="L5" s="248" t="n"/>
      <c r="M5" s="248" t="n"/>
      <c r="N5" s="248" t="n"/>
      <c r="O5" s="248" t="n"/>
      <c r="P5" s="248" t="n"/>
    </row>
    <row r="6" ht="15.75" customHeight="1">
      <c r="A6" s="195" t="inlineStr">
        <is>
          <t>5- Fes un calendari de totes les obligacions fiscals que tindria una pyme en general. Caldria fer-ho com aquesta plantilla.</t>
        </is>
      </c>
      <c r="K6" s="248" t="n"/>
      <c r="L6" s="248" t="n"/>
      <c r="M6" s="248" t="n"/>
      <c r="N6" s="248" t="n"/>
      <c r="O6" s="248" t="n"/>
      <c r="P6" s="248" t="n"/>
    </row>
    <row r="7" ht="15.75" customHeight="1">
      <c r="K7" s="248" t="n"/>
      <c r="L7" s="248" t="n"/>
      <c r="M7" s="248" t="n"/>
      <c r="N7" s="248" t="n"/>
      <c r="O7" s="248" t="n"/>
      <c r="P7" s="248" t="n"/>
    </row>
    <row r="8" ht="15.75" customHeight="1">
      <c r="A8" t="inlineStr"/>
      <c r="K8" s="248" t="n"/>
      <c r="L8" s="248" t="n"/>
      <c r="M8" s="248" t="n"/>
      <c r="N8" s="248" t="n"/>
      <c r="O8" s="248" t="n"/>
      <c r="P8" s="248" t="n"/>
    </row>
    <row r="9" ht="15.75" customHeight="1">
      <c r="A9" s="249">
        <f>=====================================================================</f>
        <v/>
      </c>
      <c r="K9" s="248" t="n"/>
      <c r="L9" s="248" t="n"/>
      <c r="M9" s="248" t="n"/>
      <c r="N9" s="248" t="n"/>
      <c r="O9" s="248" t="n"/>
      <c r="P9" s="248" t="n"/>
    </row>
    <row r="10" ht="15.75" customHeight="1">
      <c r="A10" s="249" t="inlineStr">
        <is>
          <t>RESPOSTES ALS EXERCICIS</t>
        </is>
      </c>
      <c r="K10" s="248" t="n"/>
      <c r="L10" s="248" t="n"/>
      <c r="M10" s="248" t="n"/>
      <c r="N10" s="248" t="n"/>
      <c r="O10" s="248" t="n"/>
      <c r="P10" s="248" t="n"/>
    </row>
    <row r="11" ht="15.75" customHeight="1">
      <c r="A11">
        <f>=====================================================================</f>
        <v/>
      </c>
      <c r="K11" s="248" t="n"/>
      <c r="L11" s="248" t="n"/>
      <c r="M11" s="248" t="n"/>
      <c r="N11" s="248" t="n"/>
      <c r="O11" s="248" t="n"/>
      <c r="P11" s="248" t="n"/>
    </row>
    <row r="12" ht="15.75" customHeight="1">
      <c r="A12" t="inlineStr"/>
      <c r="K12" s="248" t="n"/>
      <c r="L12" s="248" t="n"/>
      <c r="M12" s="248" t="n"/>
      <c r="N12" s="248" t="n"/>
      <c r="O12" s="248" t="n"/>
      <c r="P12" s="248" t="n"/>
    </row>
    <row r="13" ht="15.75" customHeight="1">
      <c r="A13" s="249" t="inlineStr">
        <is>
          <t>RESPOSTA 1 - Model 303 (IVA)</t>
        </is>
      </c>
      <c r="K13" s="248" t="n"/>
      <c r="L13" s="248" t="n"/>
      <c r="M13" s="248" t="n"/>
      <c r="N13" s="248" t="n"/>
      <c r="O13" s="248" t="n"/>
      <c r="P13" s="248" t="n"/>
    </row>
    <row r="14" ht="15.75" customHeight="1">
      <c r="A14" t="inlineStr">
        <is>
          <t xml:space="preserve">  Termini T1 (Gener-Marc): del 1 al 20 d abril</t>
        </is>
      </c>
      <c r="K14" s="248" t="n"/>
      <c r="L14" s="248" t="n"/>
      <c r="M14" s="248" t="n"/>
      <c r="N14" s="248" t="n"/>
      <c r="O14" s="248" t="n"/>
      <c r="P14" s="248" t="n"/>
    </row>
    <row r="15" ht="15.75" customHeight="1">
      <c r="A15" t="inlineStr">
        <is>
          <t xml:space="preserve">  Domiciliacio bancaria: fins al 15 d abril</t>
        </is>
      </c>
      <c r="K15" s="248" t="n"/>
      <c r="L15" s="248" t="n"/>
      <c r="M15" s="248" t="n"/>
      <c r="N15" s="248" t="n"/>
      <c r="O15" s="248" t="n"/>
      <c r="P15" s="248" t="n"/>
    </row>
    <row r="16" ht="15.75" customHeight="1">
      <c r="A16" t="inlineStr">
        <is>
          <t xml:space="preserve">  A qui: AEAT - Agencia Estatal d Administracio Tributaria (Hisenda)</t>
        </is>
      </c>
      <c r="K16" s="248" t="n"/>
      <c r="L16" s="248" t="n"/>
      <c r="M16" s="248" t="n"/>
      <c r="N16" s="248" t="n"/>
      <c r="O16" s="248" t="n"/>
      <c r="P16" s="248" t="n"/>
    </row>
    <row r="17" ht="15.75" customHeight="1">
      <c r="A17" t="inlineStr">
        <is>
          <t xml:space="preserve">  Forma: Telematica obligatoria per a societats (SL, SA)</t>
        </is>
      </c>
      <c r="K17" s="248" t="n"/>
      <c r="L17" s="248" t="n"/>
      <c r="M17" s="248" t="n"/>
      <c r="N17" s="248" t="n"/>
      <c r="O17" s="248" t="n"/>
      <c r="P17" s="248" t="n"/>
    </row>
    <row r="18" ht="15.75" customHeight="1">
      <c r="A18" t="inlineStr">
        <is>
          <t xml:space="preserve">  RESULTAT CALCULAT:</t>
        </is>
      </c>
      <c r="K18" s="248" t="n"/>
      <c r="L18" s="248" t="n"/>
      <c r="M18" s="248" t="n"/>
      <c r="N18" s="248" t="n"/>
      <c r="O18" s="248" t="n"/>
      <c r="P18" s="248" t="n"/>
    </row>
    <row r="19" ht="15.75" customHeight="1">
      <c r="A19" t="inlineStr">
        <is>
          <t xml:space="preserve">    IVA Repercutit (emeses):  4.671,90 EUR</t>
        </is>
      </c>
      <c r="K19" s="248" t="n"/>
      <c r="L19" s="248" t="n"/>
      <c r="M19" s="248" t="n"/>
      <c r="N19" s="248" t="n"/>
      <c r="O19" s="248" t="n"/>
      <c r="P19" s="248" t="n"/>
    </row>
    <row r="20" ht="15.75" customHeight="1">
      <c r="A20" t="inlineStr">
        <is>
          <t xml:space="preserve">    IVA Suportat  (rebudes):  7.268,10 EUR</t>
        </is>
      </c>
      <c r="K20" s="248" t="n"/>
      <c r="L20" s="248" t="n"/>
      <c r="M20" s="248" t="n"/>
      <c r="N20" s="248" t="n"/>
      <c r="O20" s="248" t="n"/>
      <c r="P20" s="248" t="n"/>
    </row>
    <row r="21" ht="15.75" customHeight="1">
      <c r="A21" t="inlineStr">
        <is>
          <t xml:space="preserve">    IMPORT A LIQUIDAR:       -2.596,20 EUR  -&gt; A COMPENSAR (resultat negatiu)</t>
        </is>
      </c>
      <c r="K21" s="248" t="n"/>
      <c r="L21" s="248" t="n"/>
      <c r="M21" s="248" t="n"/>
      <c r="N21" s="248" t="n"/>
      <c r="O21" s="248" t="n"/>
      <c r="P21" s="248" t="n"/>
    </row>
    <row r="22" ht="15.75" customHeight="1">
      <c r="A22" t="inlineStr"/>
      <c r="K22" s="248" t="n"/>
      <c r="L22" s="248" t="n"/>
      <c r="M22" s="248" t="n"/>
      <c r="N22" s="248" t="n"/>
      <c r="O22" s="248" t="n"/>
      <c r="P22" s="248" t="n"/>
    </row>
    <row r="23" ht="15.75" customHeight="1">
      <c r="A23" s="249" t="inlineStr">
        <is>
          <t>RESPOSTA 2 - Model 111 (Retencions IRPF nomines + professionals)</t>
        </is>
      </c>
      <c r="K23" s="248" t="n"/>
      <c r="L23" s="248" t="n"/>
      <c r="M23" s="248" t="n"/>
      <c r="N23" s="248" t="n"/>
      <c r="O23" s="248" t="n"/>
      <c r="P23" s="248" t="n"/>
    </row>
    <row r="24" ht="15.75" customHeight="1">
      <c r="A24" t="inlineStr">
        <is>
          <t xml:space="preserve">  Nomines:      123.962,55 EUR x 2% = 2.479,25 EUR</t>
        </is>
      </c>
      <c r="K24" s="248" t="n"/>
      <c r="L24" s="248" t="n"/>
      <c r="M24" s="248" t="n"/>
      <c r="N24" s="248" t="n"/>
      <c r="O24" s="248" t="n"/>
      <c r="P24" s="248" t="n"/>
    </row>
    <row r="25" ht="15.75" customHeight="1">
      <c r="A25" t="inlineStr">
        <is>
          <t xml:space="preserve">  Professionals: ARQUITECTOS UNIDOS 12.000 EUR x 19% = 2.280,00 EUR</t>
        </is>
      </c>
      <c r="K25" s="248" t="n"/>
      <c r="L25" s="248" t="n"/>
      <c r="M25" s="248" t="n"/>
      <c r="N25" s="248" t="n"/>
      <c r="O25" s="248" t="n"/>
      <c r="P25" s="248" t="n"/>
    </row>
    <row r="26" ht="15.75" customHeight="1">
      <c r="A26" t="inlineStr">
        <is>
          <t xml:space="preserve">  TOTAL MODEL 111 T1 = 4.759,25 EUR</t>
        </is>
      </c>
      <c r="K26" s="248" t="n"/>
      <c r="L26" s="248" t="n"/>
      <c r="M26" s="248" t="n"/>
      <c r="N26" s="248" t="n"/>
      <c r="O26" s="248" t="n"/>
      <c r="P26" s="248" t="n"/>
    </row>
    <row r="27" ht="15.75" customHeight="1">
      <c r="A27" t="inlineStr">
        <is>
          <t xml:space="preserve">  Termini: del 1 al 20 d abril</t>
        </is>
      </c>
      <c r="K27" s="248" t="n"/>
      <c r="L27" s="248" t="n"/>
      <c r="M27" s="248" t="n"/>
      <c r="N27" s="248" t="n"/>
      <c r="O27" s="248" t="n"/>
      <c r="P27" s="248" t="n"/>
    </row>
    <row r="28" ht="15.75" customHeight="1">
      <c r="A28" t="inlineStr">
        <is>
          <t xml:space="preserve">  A qui: AEAT (Hisenda)</t>
        </is>
      </c>
      <c r="K28" s="248" t="n"/>
      <c r="L28" s="248" t="n"/>
      <c r="M28" s="248" t="n"/>
      <c r="N28" s="248" t="n"/>
      <c r="O28" s="248" t="n"/>
      <c r="P28" s="248" t="n"/>
    </row>
    <row r="29" ht="15.75" customHeight="1">
      <c r="A29" t="inlineStr"/>
      <c r="K29" s="248" t="n"/>
      <c r="L29" s="248" t="n"/>
      <c r="M29" s="248" t="n"/>
      <c r="N29" s="248" t="n"/>
      <c r="O29" s="248" t="n"/>
      <c r="P29" s="248" t="n"/>
    </row>
    <row r="30" ht="15.75" customHeight="1">
      <c r="A30" s="249" t="inlineStr">
        <is>
          <t>RESPOSTA 3 - Models fiscals obligatoris</t>
        </is>
      </c>
      <c r="K30" s="248" t="n"/>
      <c r="L30" s="248" t="n"/>
      <c r="M30" s="248" t="n"/>
      <c r="N30" s="248" t="n"/>
      <c r="O30" s="248" t="n"/>
      <c r="P30" s="248" t="n"/>
    </row>
    <row r="31" ht="15.75" customHeight="1">
      <c r="A31" s="249" t="inlineStr">
        <is>
          <t>MODEL</t>
        </is>
      </c>
      <c r="B31" s="249" t="inlineStr">
        <is>
          <t>PRESENTAR?</t>
        </is>
      </c>
      <c r="C31" s="249" t="inlineStr">
        <is>
          <t>TERMINI</t>
        </is>
      </c>
      <c r="D31" s="249" t="inlineStr">
        <is>
          <t>JUSTIFICACIO</t>
        </is>
      </c>
      <c r="K31" s="248" t="n"/>
      <c r="L31" s="248" t="n"/>
      <c r="M31" s="248" t="n"/>
      <c r="N31" s="248" t="n"/>
      <c r="O31" s="248" t="n"/>
      <c r="P31" s="248" t="n"/>
    </row>
    <row r="32" ht="15.75" customHeight="1">
      <c r="A32" t="inlineStr">
        <is>
          <t>115 (ret. lloguer)</t>
        </is>
      </c>
      <c r="B32" t="inlineStr">
        <is>
          <t>SI</t>
        </is>
      </c>
      <c r="C32" t="inlineStr">
        <is>
          <t>T1: 1-20 abr. Resum 180: 1-31 gen any seg.</t>
        </is>
      </c>
      <c r="D32" t="inlineStr">
        <is>
          <t>Paguen lloguer local (ALQUILERES JUNTOS, IRPF 105,45 EUR)</t>
        </is>
      </c>
      <c r="K32" s="248" t="n"/>
      <c r="L32" s="248" t="n"/>
      <c r="M32" s="248" t="n"/>
      <c r="N32" s="248" t="n"/>
      <c r="O32" s="248" t="n"/>
      <c r="P32" s="248" t="n"/>
    </row>
    <row r="33" ht="15.75" customHeight="1">
      <c r="A33" t="inlineStr">
        <is>
          <t>347 (op. tercers)</t>
        </is>
      </c>
      <c r="B33" t="inlineStr">
        <is>
          <t>SI</t>
        </is>
      </c>
      <c r="C33" t="inlineStr">
        <is>
          <t>ANUAL: 1-28 febrer any seg.</t>
        </is>
      </c>
      <c r="D33" t="inlineStr">
        <is>
          <t>ARQUITECTOS ja supera el limit de 3.005,06 EUR anuals (12.000 EUR)</t>
        </is>
      </c>
      <c r="K33" s="248" t="n"/>
      <c r="L33" s="248" t="n"/>
      <c r="M33" s="248" t="n"/>
      <c r="N33" s="248" t="n"/>
      <c r="O33" s="248" t="n"/>
      <c r="P33" s="248" t="n"/>
    </row>
    <row r="34" ht="15.75" customHeight="1">
      <c r="A34" t="inlineStr">
        <is>
          <t>349 (op. intracom)</t>
        </is>
      </c>
      <c r="B34" t="inlineStr">
        <is>
          <t>SI</t>
        </is>
      </c>
      <c r="C34" t="inlineStr">
        <is>
          <t>T1: 1-20 abril</t>
        </is>
      </c>
      <c r="D34" t="inlineStr">
        <is>
          <t>Compres UE (GIVEME5, LENOVO) i vendes UE (F005, F008)</t>
        </is>
      </c>
      <c r="K34" s="248" t="n"/>
      <c r="L34" s="248" t="n"/>
      <c r="M34" s="248" t="n"/>
      <c r="N34" s="248" t="n"/>
      <c r="O34" s="248" t="n"/>
      <c r="P34" s="248" t="n"/>
    </row>
    <row r="35" ht="15.75" customHeight="1">
      <c r="A35" t="inlineStr">
        <is>
          <t>390 (resum anual IVA)</t>
        </is>
      </c>
      <c r="B35" t="inlineStr">
        <is>
          <t>SI</t>
        </is>
      </c>
      <c r="C35" t="inlineStr">
        <is>
          <t>ANUAL: 1-30 gener any seg.</t>
        </is>
      </c>
      <c r="D35" t="inlineStr">
        <is>
          <t>Obligatori per a tots els que presenten 303</t>
        </is>
      </c>
      <c r="K35" s="248" t="n"/>
      <c r="L35" s="248" t="n"/>
      <c r="M35" s="248" t="n"/>
      <c r="N35" s="248" t="n"/>
      <c r="O35" s="248" t="n"/>
      <c r="P35" s="248" t="n"/>
    </row>
    <row r="36" ht="15.75" customHeight="1">
      <c r="A36" t="inlineStr">
        <is>
          <t>202 (pagament IS)</t>
        </is>
      </c>
      <c r="B36" t="inlineStr">
        <is>
          <t>SI</t>
        </is>
      </c>
      <c r="C36" t="inlineStr">
        <is>
          <t>1r:1-20abr / 2n:1-20oct / 3r:1-20des</t>
        </is>
      </c>
      <c r="D36" t="inlineStr">
        <is>
          <t>Si any anterior quota IS positiva</t>
        </is>
      </c>
      <c r="K36" s="248" t="n"/>
      <c r="L36" s="248" t="n"/>
      <c r="M36" s="248" t="n"/>
      <c r="N36" s="248" t="n"/>
      <c r="O36" s="248" t="n"/>
      <c r="P36" s="248" t="n"/>
    </row>
    <row r="37" ht="15.75" customHeight="1">
      <c r="A37" t="inlineStr">
        <is>
          <t>200 (IS anual)</t>
        </is>
      </c>
      <c r="B37" t="inlineStr">
        <is>
          <t>SI</t>
        </is>
      </c>
      <c r="C37" t="inlineStr">
        <is>
          <t>ANUAL: 1-25 juliol</t>
        </is>
      </c>
      <c r="D37" t="inlineStr">
        <is>
          <t>Declaracio anual Impost de Societats</t>
        </is>
      </c>
      <c r="K37" s="248" t="n"/>
      <c r="L37" s="248" t="n"/>
      <c r="M37" s="248" t="n"/>
      <c r="N37" s="248" t="n"/>
      <c r="O37" s="248" t="n"/>
      <c r="P37" s="248" t="n"/>
    </row>
    <row r="38" ht="15.75" customHeight="1">
      <c r="A38" t="inlineStr">
        <is>
          <t>180 (resum lloguer)</t>
        </is>
      </c>
      <c r="B38" t="inlineStr">
        <is>
          <t>SI</t>
        </is>
      </c>
      <c r="C38" t="inlineStr">
        <is>
          <t>ANUAL: 1-31 gener any seg.</t>
        </is>
      </c>
      <c r="D38" t="inlineStr">
        <is>
          <t>Resum anual del 115</t>
        </is>
      </c>
      <c r="K38" s="248" t="n"/>
      <c r="L38" s="248" t="n"/>
      <c r="M38" s="248" t="n"/>
      <c r="N38" s="248" t="n"/>
      <c r="O38" s="248" t="n"/>
      <c r="P38" s="248" t="n"/>
    </row>
    <row r="39" ht="15.75" customHeight="1">
      <c r="A39" t="inlineStr">
        <is>
          <t>190 (resum treball)</t>
        </is>
      </c>
      <c r="B39" t="inlineStr">
        <is>
          <t>SI</t>
        </is>
      </c>
      <c r="C39" t="inlineStr">
        <is>
          <t>ANUAL: 1-31 gener any seg.</t>
        </is>
      </c>
      <c r="D39" t="inlineStr">
        <is>
          <t>Resum anual del 111 (nomines + professionals)</t>
        </is>
      </c>
      <c r="K39" s="248" t="n"/>
      <c r="L39" s="248" t="n"/>
      <c r="M39" s="248" t="n"/>
      <c r="N39" s="248" t="n"/>
      <c r="O39" s="248" t="n"/>
      <c r="P39" s="248" t="n"/>
    </row>
    <row r="40" ht="15.75" customHeight="1">
      <c r="A40" t="inlineStr"/>
      <c r="K40" s="248" t="n"/>
      <c r="L40" s="248" t="n"/>
      <c r="M40" s="248" t="n"/>
      <c r="N40" s="248" t="n"/>
      <c r="O40" s="248" t="n"/>
      <c r="P40" s="248" t="n"/>
    </row>
    <row r="41" ht="15.75" customHeight="1">
      <c r="A41" s="249" t="inlineStr">
        <is>
          <t>RESPOSTA 4 - Intrastat</t>
        </is>
      </c>
      <c r="K41" s="248" t="n"/>
      <c r="L41" s="248" t="n"/>
      <c r="M41" s="248" t="n"/>
      <c r="N41" s="248" t="n"/>
      <c r="O41" s="248" t="n"/>
      <c r="P41" s="248" t="n"/>
    </row>
    <row r="42" ht="15.75" customHeight="1">
      <c r="A42" t="inlineStr">
        <is>
          <t xml:space="preserve">  NO s ha de presentar en aquest cas.</t>
        </is>
      </c>
      <c r="K42" s="248" t="n"/>
      <c r="L42" s="248" t="n"/>
      <c r="M42" s="248" t="n"/>
      <c r="N42" s="248" t="n"/>
      <c r="O42" s="248" t="n"/>
      <c r="P42" s="248" t="n"/>
    </row>
    <row r="43" ht="15.75" customHeight="1">
      <c r="A43" t="inlineStr">
        <is>
          <t xml:space="preserve">  Llindar obligatori: 400.000 EUR/any (expedicions i introduccions)</t>
        </is>
      </c>
      <c r="K43" s="248" t="n"/>
      <c r="L43" s="248" t="n"/>
      <c r="M43" s="248" t="n"/>
      <c r="N43" s="248" t="n"/>
      <c r="O43" s="248" t="n"/>
      <c r="P43" s="248" t="n"/>
    </row>
    <row r="44" ht="15.75" customHeight="1">
      <c r="A44" t="inlineStr">
        <is>
          <t xml:space="preserve">  Vendes UE: F005(1.352)+F008(888) = 2.240 EUR  &lt;&lt; 400.000 EUR</t>
        </is>
      </c>
      <c r="K44" s="248" t="n"/>
      <c r="L44" s="248" t="n"/>
      <c r="M44" s="248" t="n"/>
      <c r="N44" s="248" t="n"/>
      <c r="O44" s="248" t="n"/>
      <c r="P44" s="248" t="n"/>
    </row>
    <row r="45" ht="15.75" customHeight="1">
      <c r="A45" t="inlineStr">
        <is>
          <t xml:space="preserve">  Compres UE: GIVEME5(753)+LENOVO(290) = 1.043 EUR  &lt;&lt; 400.000 EUR</t>
        </is>
      </c>
      <c r="K45" s="248" t="n"/>
      <c r="L45" s="248" t="n"/>
      <c r="M45" s="248" t="n"/>
      <c r="N45" s="248" t="n"/>
      <c r="O45" s="248" t="n"/>
      <c r="P45" s="248" t="n"/>
    </row>
    <row r="46" ht="15.75" customHeight="1">
      <c r="A46" t="inlineStr">
        <is>
          <t xml:space="preserve">  Si calgues: mensual, 12 primers dies habils del mes seguent, a AEAT</t>
        </is>
      </c>
      <c r="K46" s="248" t="n"/>
      <c r="L46" s="248" t="n"/>
      <c r="M46" s="248" t="n"/>
      <c r="N46" s="248" t="n"/>
      <c r="O46" s="248" t="n"/>
      <c r="P46" s="248" t="n"/>
    </row>
    <row r="47" ht="15.75" customHeight="1">
      <c r="A47" t="inlineStr"/>
      <c r="K47" s="248" t="n"/>
      <c r="L47" s="248" t="n"/>
      <c r="M47" s="248" t="n"/>
      <c r="N47" s="248" t="n"/>
      <c r="O47" s="248" t="n"/>
      <c r="P47" s="248" t="n"/>
    </row>
    <row r="48" ht="15.75" customHeight="1">
      <c r="A48" s="249" t="inlineStr">
        <is>
          <t>RESPOSTA 5 - Calendari obligacions fiscals PIME (any natural)</t>
        </is>
      </c>
      <c r="K48" s="248" t="n"/>
      <c r="L48" s="248" t="n"/>
      <c r="M48" s="248" t="n"/>
      <c r="N48" s="248" t="n"/>
      <c r="O48" s="248" t="n"/>
      <c r="P48" s="248" t="n"/>
    </row>
    <row r="49" ht="15.75" customHeight="1">
      <c r="A49" t="inlineStr"/>
      <c r="K49" s="248" t="n"/>
      <c r="L49" s="248" t="n"/>
      <c r="M49" s="248" t="n"/>
      <c r="N49" s="248" t="n"/>
      <c r="O49" s="248" t="n"/>
      <c r="P49" s="248" t="n"/>
    </row>
    <row r="50" ht="15.75" customHeight="1">
      <c r="A50" s="249" t="inlineStr">
        <is>
          <t>MES</t>
        </is>
      </c>
      <c r="B50" s="249" t="inlineStr">
        <is>
          <t>MODEL</t>
        </is>
      </c>
      <c r="C50" s="249" t="inlineStr">
        <is>
          <t>CONTINGUT</t>
        </is>
      </c>
      <c r="D50" s="249" t="inlineStr">
        <is>
          <t>TERMINI</t>
        </is>
      </c>
      <c r="K50" s="248" t="n"/>
      <c r="L50" s="248" t="n"/>
      <c r="M50" s="248" t="n"/>
      <c r="N50" s="248" t="n"/>
      <c r="O50" s="248" t="n"/>
      <c r="P50" s="248" t="n"/>
    </row>
    <row r="51" ht="15.75" customHeight="1">
      <c r="A51" t="inlineStr">
        <is>
          <t>GENER</t>
        </is>
      </c>
      <c r="B51" t="inlineStr">
        <is>
          <t>303 (T4)</t>
        </is>
      </c>
      <c r="C51" t="inlineStr">
        <is>
          <t>IVA 4t trimestre</t>
        </is>
      </c>
      <c r="D51" t="inlineStr">
        <is>
          <t>1-20 gen</t>
        </is>
      </c>
      <c r="K51" s="248" t="n"/>
      <c r="L51" s="248" t="n"/>
      <c r="M51" s="248" t="n"/>
      <c r="N51" s="248" t="n"/>
      <c r="O51" s="248" t="n"/>
      <c r="P51" s="248" t="n"/>
    </row>
    <row r="52" ht="15.75" customHeight="1">
      <c r="A52" t="inlineStr">
        <is>
          <t>GENER</t>
        </is>
      </c>
      <c r="B52" t="inlineStr">
        <is>
          <t>111 (T4)</t>
        </is>
      </c>
      <c r="C52" t="inlineStr">
        <is>
          <t>IRPF retencions treball/prof. T4</t>
        </is>
      </c>
      <c r="D52" t="inlineStr">
        <is>
          <t>1-20 gen</t>
        </is>
      </c>
      <c r="K52" s="248" t="n"/>
      <c r="L52" s="248" t="n"/>
      <c r="M52" s="248" t="n"/>
      <c r="N52" s="248" t="n"/>
      <c r="O52" s="248" t="n"/>
      <c r="P52" s="248" t="n"/>
    </row>
    <row r="53" ht="15.75" customHeight="1">
      <c r="A53" t="inlineStr">
        <is>
          <t>GENER</t>
        </is>
      </c>
      <c r="B53" t="inlineStr">
        <is>
          <t>115 (T4)</t>
        </is>
      </c>
      <c r="C53" t="inlineStr">
        <is>
          <t>Retencions lloguer T4</t>
        </is>
      </c>
      <c r="D53" t="inlineStr">
        <is>
          <t>1-20 gen</t>
        </is>
      </c>
      <c r="K53" s="248" t="n"/>
      <c r="L53" s="248" t="n"/>
      <c r="M53" s="248" t="n"/>
      <c r="N53" s="248" t="n"/>
      <c r="O53" s="248" t="n"/>
      <c r="P53" s="248" t="n"/>
    </row>
    <row r="54" ht="15.75" customHeight="1">
      <c r="A54" t="inlineStr">
        <is>
          <t>GENER</t>
        </is>
      </c>
      <c r="B54" t="inlineStr">
        <is>
          <t>349 (T4)</t>
        </is>
      </c>
      <c r="C54" t="inlineStr">
        <is>
          <t>Operacions intracomunitaries T4</t>
        </is>
      </c>
      <c r="D54" t="inlineStr">
        <is>
          <t>1-20 gen</t>
        </is>
      </c>
      <c r="K54" s="248" t="n"/>
      <c r="L54" s="248" t="n"/>
      <c r="M54" s="248" t="n"/>
      <c r="N54" s="248" t="n"/>
      <c r="O54" s="248" t="n"/>
      <c r="P54" s="248" t="n"/>
    </row>
    <row r="55" ht="15.75" customHeight="1">
      <c r="A55" t="inlineStr">
        <is>
          <t>GENER</t>
        </is>
      </c>
      <c r="B55" t="inlineStr">
        <is>
          <t>180</t>
        </is>
      </c>
      <c r="C55" t="inlineStr">
        <is>
          <t>Resum anual retencions lloguer</t>
        </is>
      </c>
      <c r="D55" t="inlineStr">
        <is>
          <t>1-31 gen</t>
        </is>
      </c>
      <c r="K55" s="248" t="n"/>
      <c r="L55" s="248" t="n"/>
      <c r="M55" s="248" t="n"/>
      <c r="N55" s="248" t="n"/>
      <c r="O55" s="248" t="n"/>
      <c r="P55" s="248" t="n"/>
    </row>
    <row r="56" ht="15.75" customHeight="1">
      <c r="A56" t="inlineStr">
        <is>
          <t>GENER</t>
        </is>
      </c>
      <c r="B56" t="inlineStr">
        <is>
          <t>190</t>
        </is>
      </c>
      <c r="C56" t="inlineStr">
        <is>
          <t>Resum anual retencions treball</t>
        </is>
      </c>
      <c r="D56" t="inlineStr">
        <is>
          <t>1-31 gen</t>
        </is>
      </c>
      <c r="K56" s="248" t="n"/>
      <c r="L56" s="248" t="n"/>
      <c r="M56" s="248" t="n"/>
      <c r="N56" s="248" t="n"/>
      <c r="O56" s="248" t="n"/>
      <c r="P56" s="248" t="n"/>
    </row>
    <row r="57" ht="15.75" customHeight="1">
      <c r="A57" t="inlineStr">
        <is>
          <t>GENER</t>
        </is>
      </c>
      <c r="B57" t="inlineStr">
        <is>
          <t>390</t>
        </is>
      </c>
      <c r="C57" t="inlineStr">
        <is>
          <t>Resum anual IVA</t>
        </is>
      </c>
      <c r="D57" t="inlineStr">
        <is>
          <t>1-30 gen</t>
        </is>
      </c>
      <c r="K57" s="248" t="n"/>
      <c r="L57" s="248" t="n"/>
      <c r="M57" s="248" t="n"/>
      <c r="N57" s="248" t="n"/>
      <c r="O57" s="248" t="n"/>
      <c r="P57" s="248" t="n"/>
    </row>
    <row r="58" ht="15.75" customHeight="1">
      <c r="A58" t="inlineStr">
        <is>
          <t>FEBRER</t>
        </is>
      </c>
      <c r="B58" t="inlineStr">
        <is>
          <t>347</t>
        </is>
      </c>
      <c r="C58" t="inlineStr">
        <is>
          <t>Operacions amb tercers &gt;3.005,06 EUR anuals</t>
        </is>
      </c>
      <c r="D58" t="inlineStr">
        <is>
          <t>1-28 feb</t>
        </is>
      </c>
      <c r="K58" s="248" t="n"/>
      <c r="L58" s="248" t="n"/>
      <c r="M58" s="248" t="n"/>
      <c r="N58" s="248" t="n"/>
      <c r="O58" s="248" t="n"/>
      <c r="P58" s="248" t="n"/>
    </row>
    <row r="59" ht="15.75" customHeight="1">
      <c r="A59" t="inlineStr">
        <is>
          <t>ABRIL</t>
        </is>
      </c>
      <c r="B59" t="inlineStr">
        <is>
          <t>303 (T1)</t>
        </is>
      </c>
      <c r="C59" t="inlineStr">
        <is>
          <t>IVA 1r trimestre</t>
        </is>
      </c>
      <c r="D59" t="inlineStr">
        <is>
          <t>1-20 abr</t>
        </is>
      </c>
      <c r="K59" s="248" t="n"/>
      <c r="L59" s="248" t="n"/>
      <c r="M59" s="248" t="n"/>
      <c r="N59" s="248" t="n"/>
      <c r="O59" s="248" t="n"/>
      <c r="P59" s="248" t="n"/>
    </row>
    <row r="60" ht="15.75" customHeight="1">
      <c r="A60" t="inlineStr">
        <is>
          <t>ABRIL</t>
        </is>
      </c>
      <c r="B60" t="inlineStr">
        <is>
          <t>111 (T1)</t>
        </is>
      </c>
      <c r="C60" t="inlineStr">
        <is>
          <t>IRPF retencions T1</t>
        </is>
      </c>
      <c r="D60" t="inlineStr">
        <is>
          <t>1-20 abr</t>
        </is>
      </c>
      <c r="K60" s="248" t="n"/>
      <c r="L60" s="248" t="n"/>
      <c r="M60" s="248" t="n"/>
      <c r="N60" s="248" t="n"/>
      <c r="O60" s="248" t="n"/>
      <c r="P60" s="248" t="n"/>
    </row>
    <row r="61" ht="15.75" customHeight="1">
      <c r="A61" t="inlineStr">
        <is>
          <t>ABRIL</t>
        </is>
      </c>
      <c r="B61" t="inlineStr">
        <is>
          <t>115 (T1)</t>
        </is>
      </c>
      <c r="C61" t="inlineStr">
        <is>
          <t>Retencions lloguer T1</t>
        </is>
      </c>
      <c r="D61" t="inlineStr">
        <is>
          <t>1-20 abr</t>
        </is>
      </c>
      <c r="K61" s="248" t="n"/>
      <c r="L61" s="248" t="n"/>
      <c r="M61" s="248" t="n"/>
      <c r="N61" s="248" t="n"/>
      <c r="O61" s="248" t="n"/>
      <c r="P61" s="248" t="n"/>
    </row>
    <row r="62" ht="15.75" customHeight="1">
      <c r="A62" t="inlineStr">
        <is>
          <t>ABRIL</t>
        </is>
      </c>
      <c r="B62" t="inlineStr">
        <is>
          <t>349 (T1)</t>
        </is>
      </c>
      <c r="C62" t="inlineStr">
        <is>
          <t>Operacions intracomunitaries T1</t>
        </is>
      </c>
      <c r="D62" t="inlineStr">
        <is>
          <t>1-20 abr</t>
        </is>
      </c>
      <c r="K62" s="248" t="n"/>
      <c r="L62" s="248" t="n"/>
      <c r="M62" s="248" t="n"/>
      <c r="N62" s="248" t="n"/>
      <c r="O62" s="248" t="n"/>
      <c r="P62" s="248" t="n"/>
    </row>
    <row r="63" ht="15.75" customHeight="1">
      <c r="A63" t="inlineStr">
        <is>
          <t>ABRIL</t>
        </is>
      </c>
      <c r="B63" t="inlineStr">
        <is>
          <t>202 (1r pag.)</t>
        </is>
      </c>
      <c r="C63" t="inlineStr">
        <is>
          <t>Pagament fraccionat Impost Societats</t>
        </is>
      </c>
      <c r="D63" t="inlineStr">
        <is>
          <t>1-20 abr</t>
        </is>
      </c>
      <c r="K63" s="248" t="n"/>
      <c r="L63" s="248" t="n"/>
      <c r="M63" s="248" t="n"/>
      <c r="N63" s="248" t="n"/>
      <c r="O63" s="248" t="n"/>
      <c r="P63" s="248" t="n"/>
    </row>
    <row r="64" ht="15.75" customHeight="1">
      <c r="A64" t="inlineStr">
        <is>
          <t>JULIOL</t>
        </is>
      </c>
      <c r="B64" t="inlineStr">
        <is>
          <t>303 (T2)</t>
        </is>
      </c>
      <c r="C64" t="inlineStr">
        <is>
          <t>IVA 2n trimestre</t>
        </is>
      </c>
      <c r="D64" t="inlineStr">
        <is>
          <t>1-20 jul</t>
        </is>
      </c>
      <c r="K64" s="248" t="n"/>
      <c r="L64" s="248" t="n"/>
      <c r="M64" s="248" t="n"/>
      <c r="N64" s="248" t="n"/>
      <c r="O64" s="248" t="n"/>
      <c r="P64" s="248" t="n"/>
    </row>
    <row r="65" ht="15.75" customHeight="1">
      <c r="A65" t="inlineStr">
        <is>
          <t>JULIOL</t>
        </is>
      </c>
      <c r="B65" t="inlineStr">
        <is>
          <t>111 (T2)</t>
        </is>
      </c>
      <c r="C65" t="inlineStr">
        <is>
          <t>IRPF retencions T2</t>
        </is>
      </c>
      <c r="D65" t="inlineStr">
        <is>
          <t>1-20 jul</t>
        </is>
      </c>
      <c r="K65" s="248" t="n"/>
      <c r="L65" s="248" t="n"/>
      <c r="M65" s="248" t="n"/>
      <c r="N65" s="248" t="n"/>
      <c r="O65" s="248" t="n"/>
      <c r="P65" s="248" t="n"/>
    </row>
    <row r="66" ht="15.75" customHeight="1">
      <c r="A66" t="inlineStr">
        <is>
          <t>JULIOL</t>
        </is>
      </c>
      <c r="B66" t="inlineStr">
        <is>
          <t>115 (T2)</t>
        </is>
      </c>
      <c r="C66" t="inlineStr">
        <is>
          <t>Retencions lloguer T2</t>
        </is>
      </c>
      <c r="D66" t="inlineStr">
        <is>
          <t>1-20 jul</t>
        </is>
      </c>
      <c r="K66" s="248" t="n"/>
      <c r="L66" s="248" t="n"/>
      <c r="M66" s="248" t="n"/>
      <c r="N66" s="248" t="n"/>
      <c r="O66" s="248" t="n"/>
      <c r="P66" s="248" t="n"/>
    </row>
    <row r="67" ht="15.75" customHeight="1">
      <c r="A67" t="inlineStr">
        <is>
          <t>JULIOL</t>
        </is>
      </c>
      <c r="B67" t="inlineStr">
        <is>
          <t>349 (T2)</t>
        </is>
      </c>
      <c r="C67" t="inlineStr">
        <is>
          <t>Operacions intracomunitaries T2</t>
        </is>
      </c>
      <c r="D67" t="inlineStr">
        <is>
          <t>1-20 jul</t>
        </is>
      </c>
      <c r="K67" s="248" t="n"/>
      <c r="L67" s="248" t="n"/>
      <c r="M67" s="248" t="n"/>
      <c r="N67" s="248" t="n"/>
      <c r="O67" s="248" t="n"/>
      <c r="P67" s="248" t="n"/>
    </row>
    <row r="68" ht="15.75" customHeight="1">
      <c r="A68" t="inlineStr">
        <is>
          <t>JULIOL</t>
        </is>
      </c>
      <c r="B68" t="inlineStr">
        <is>
          <t>200</t>
        </is>
      </c>
      <c r="C68" t="inlineStr">
        <is>
          <t>Declaracio anual Impost de Societats</t>
        </is>
      </c>
      <c r="D68" t="inlineStr">
        <is>
          <t>1-25 jul</t>
        </is>
      </c>
      <c r="K68" s="248" t="n"/>
      <c r="L68" s="248" t="n"/>
      <c r="M68" s="248" t="n"/>
      <c r="N68" s="248" t="n"/>
      <c r="O68" s="248" t="n"/>
      <c r="P68" s="248" t="n"/>
    </row>
    <row r="69" ht="15.75" customHeight="1">
      <c r="A69" t="inlineStr">
        <is>
          <t>OCTUBRE</t>
        </is>
      </c>
      <c r="B69" t="inlineStr">
        <is>
          <t>303 (T3)</t>
        </is>
      </c>
      <c r="C69" t="inlineStr">
        <is>
          <t>IVA 3r trimestre</t>
        </is>
      </c>
      <c r="D69" t="inlineStr">
        <is>
          <t>1-20 oct</t>
        </is>
      </c>
      <c r="K69" s="248" t="n"/>
      <c r="L69" s="248" t="n"/>
      <c r="M69" s="248" t="n"/>
      <c r="N69" s="248" t="n"/>
      <c r="O69" s="248" t="n"/>
      <c r="P69" s="248" t="n"/>
    </row>
    <row r="70" ht="15.75" customHeight="1">
      <c r="A70" t="inlineStr">
        <is>
          <t>OCTUBRE</t>
        </is>
      </c>
      <c r="B70" t="inlineStr">
        <is>
          <t>111 (T3)</t>
        </is>
      </c>
      <c r="C70" t="inlineStr">
        <is>
          <t>IRPF retencions T3</t>
        </is>
      </c>
      <c r="D70" t="inlineStr">
        <is>
          <t>1-20 oct</t>
        </is>
      </c>
      <c r="K70" s="248" t="n"/>
      <c r="L70" s="248" t="n"/>
      <c r="M70" s="248" t="n"/>
      <c r="N70" s="248" t="n"/>
      <c r="O70" s="248" t="n"/>
      <c r="P70" s="248" t="n"/>
    </row>
    <row r="71" ht="15.75" customHeight="1">
      <c r="A71" t="inlineStr">
        <is>
          <t>OCTUBRE</t>
        </is>
      </c>
      <c r="B71" t="inlineStr">
        <is>
          <t>115 (T3)</t>
        </is>
      </c>
      <c r="C71" t="inlineStr">
        <is>
          <t>Retencions lloguer T3</t>
        </is>
      </c>
      <c r="D71" t="inlineStr">
        <is>
          <t>1-20 oct</t>
        </is>
      </c>
      <c r="K71" s="248" t="n"/>
      <c r="L71" s="248" t="n"/>
      <c r="M71" s="248" t="n"/>
      <c r="N71" s="248" t="n"/>
      <c r="O71" s="248" t="n"/>
      <c r="P71" s="248" t="n"/>
    </row>
    <row r="72" ht="15.75" customHeight="1">
      <c r="A72" t="inlineStr">
        <is>
          <t>OCTUBRE</t>
        </is>
      </c>
      <c r="B72" t="inlineStr">
        <is>
          <t>349 (T3)</t>
        </is>
      </c>
      <c r="C72" t="inlineStr">
        <is>
          <t>Operacions intracomunitaries T3</t>
        </is>
      </c>
      <c r="D72" t="inlineStr">
        <is>
          <t>1-20 oct</t>
        </is>
      </c>
      <c r="K72" s="248" t="n"/>
      <c r="L72" s="248" t="n"/>
      <c r="M72" s="248" t="n"/>
      <c r="N72" s="248" t="n"/>
      <c r="O72" s="248" t="n"/>
      <c r="P72" s="248" t="n"/>
    </row>
    <row r="73" ht="15.75" customHeight="1">
      <c r="A73" t="inlineStr">
        <is>
          <t>OCTUBRE</t>
        </is>
      </c>
      <c r="B73" t="inlineStr">
        <is>
          <t>202 (2n pag.)</t>
        </is>
      </c>
      <c r="C73" t="inlineStr">
        <is>
          <t>Pagament fraccionat IS</t>
        </is>
      </c>
      <c r="D73" t="inlineStr">
        <is>
          <t>1-20 oct</t>
        </is>
      </c>
      <c r="K73" s="248" t="n"/>
      <c r="L73" s="248" t="n"/>
      <c r="M73" s="248" t="n"/>
      <c r="N73" s="248" t="n"/>
      <c r="O73" s="248" t="n"/>
      <c r="P73" s="248" t="n"/>
    </row>
    <row r="74" ht="15.75" customHeight="1">
      <c r="A74" t="inlineStr">
        <is>
          <t>DESEMBRE</t>
        </is>
      </c>
      <c r="B74" t="inlineStr">
        <is>
          <t>202 (3r pag.)</t>
        </is>
      </c>
      <c r="C74" t="inlineStr">
        <is>
          <t>Pagament fraccionat IS</t>
        </is>
      </c>
      <c r="D74" t="inlineStr">
        <is>
          <t>1-20 des</t>
        </is>
      </c>
      <c r="K74" s="248" t="n"/>
      <c r="L74" s="248" t="n"/>
      <c r="M74" s="248" t="n"/>
      <c r="N74" s="248" t="n"/>
      <c r="O74" s="248" t="n"/>
      <c r="P74" s="248" t="n"/>
    </row>
    <row r="75" ht="15.75" customHeight="1">
      <c r="A75" t="inlineStr"/>
      <c r="K75" s="248" t="n"/>
      <c r="L75" s="248" t="n"/>
      <c r="M75" s="248" t="n"/>
      <c r="N75" s="248" t="n"/>
      <c r="O75" s="248" t="n"/>
      <c r="P75" s="248" t="n"/>
    </row>
    <row r="76" ht="15.75" customHeight="1">
      <c r="A76" s="249" t="inlineStr">
        <is>
          <t>ERRORS DETECTATS I CORREGITS AL FULL:</t>
        </is>
      </c>
      <c r="K76" s="248" t="n"/>
      <c r="L76" s="248" t="n"/>
      <c r="M76" s="248" t="n"/>
      <c r="N76" s="248" t="n"/>
      <c r="O76" s="248" t="n"/>
      <c r="P76" s="248" t="n"/>
    </row>
    <row r="77" ht="15.75" customHeight="1">
      <c r="A77" t="inlineStr">
        <is>
          <t xml:space="preserve">  [VOLKSWAGEN] H(IVA) estava buit -&gt; corregit =F23*G7 (3.990EUR); J(Total) era =F23*21% (nomes IVA) -&gt; ara =F23+H23 (22.990EUR)</t>
        </is>
      </c>
      <c r="K77" s="248" t="n"/>
      <c r="L77" s="248" t="n"/>
      <c r="M77" s="248" t="n"/>
      <c r="N77" s="248" t="n"/>
      <c r="O77" s="248" t="n"/>
      <c r="P77" s="248" t="n"/>
    </row>
    <row r="78" ht="15.75" customHeight="1">
      <c r="A78" t="inlineStr">
        <is>
          <t xml:space="preserve">  [ARQUITECTOS UNIDOS] J(Total) estava buit -&gt; corregit =F19+H19-I19 (12.240EUR)</t>
        </is>
      </c>
      <c r="K78" s="248" t="n"/>
      <c r="L78" s="248" t="n"/>
      <c r="M78" s="248" t="n"/>
      <c r="N78" s="248" t="n"/>
      <c r="O78" s="248" t="n"/>
      <c r="P78" s="248" t="n"/>
    </row>
    <row r="79" ht="15.75" customHeight="1">
      <c r="A79" t="inlineStr">
        <is>
          <t xml:space="preserve">  [ALQUILERES JUNTOS] J(Total) estava buit -&gt; corregit =F20+H20-I20 (566,10EUR)</t>
        </is>
      </c>
      <c r="K79" s="248" t="n"/>
      <c r="L79" s="248" t="n"/>
      <c r="M79" s="248" t="n"/>
      <c r="N79" s="248" t="n"/>
      <c r="O79" s="248" t="n"/>
      <c r="P79" s="248" t="n"/>
    </row>
    <row r="80" ht="15.75" customHeight="1">
      <c r="K80" s="248" t="n"/>
      <c r="L80" s="248" t="n"/>
      <c r="M80" s="248" t="n"/>
      <c r="N80" s="248" t="n"/>
      <c r="O80" s="248" t="n"/>
      <c r="P80" s="248" t="n"/>
    </row>
    <row r="81" ht="15.75" customHeight="1">
      <c r="K81" s="248" t="n"/>
      <c r="L81" s="248" t="n"/>
      <c r="M81" s="248" t="n"/>
      <c r="N81" s="248" t="n"/>
      <c r="O81" s="248" t="n"/>
      <c r="P81" s="248" t="n"/>
    </row>
    <row r="82" ht="15.75" customHeight="1">
      <c r="K82" s="248" t="n"/>
      <c r="L82" s="248" t="n"/>
      <c r="M82" s="248" t="n"/>
      <c r="N82" s="248" t="n"/>
      <c r="O82" s="248" t="n"/>
      <c r="P82" s="248" t="n"/>
    </row>
    <row r="83" ht="15.75" customHeight="1">
      <c r="K83" s="248" t="n"/>
      <c r="L83" s="248" t="n"/>
      <c r="M83" s="248" t="n"/>
      <c r="N83" s="248" t="n"/>
      <c r="O83" s="248" t="n"/>
      <c r="P83" s="248" t="n"/>
    </row>
    <row r="84" ht="15.75" customHeight="1">
      <c r="K84" s="248" t="n"/>
      <c r="L84" s="248" t="n"/>
      <c r="M84" s="248" t="n"/>
      <c r="N84" s="248" t="n"/>
      <c r="O84" s="248" t="n"/>
      <c r="P84" s="248" t="n"/>
    </row>
    <row r="85" ht="15.75" customHeight="1">
      <c r="K85" s="248" t="n"/>
      <c r="L85" s="248" t="n"/>
      <c r="M85" s="248" t="n"/>
      <c r="N85" s="248" t="n"/>
      <c r="O85" s="248" t="n"/>
      <c r="P85" s="248" t="n"/>
    </row>
    <row r="86" ht="15.75" customHeight="1">
      <c r="K86" s="248" t="n"/>
      <c r="L86" s="248" t="n"/>
      <c r="M86" s="248" t="n"/>
      <c r="N86" s="248" t="n"/>
      <c r="O86" s="248" t="n"/>
      <c r="P86" s="248" t="n"/>
    </row>
    <row r="87" ht="15.75" customHeight="1">
      <c r="K87" s="248" t="n"/>
      <c r="L87" s="248" t="n"/>
      <c r="M87" s="248" t="n"/>
      <c r="N87" s="248" t="n"/>
      <c r="O87" s="248" t="n"/>
      <c r="P87" s="248" t="n"/>
    </row>
    <row r="88" ht="15.75" customHeight="1">
      <c r="K88" s="248" t="n"/>
      <c r="L88" s="248" t="n"/>
      <c r="M88" s="248" t="n"/>
      <c r="N88" s="248" t="n"/>
      <c r="O88" s="248" t="n"/>
      <c r="P88" s="248" t="n"/>
    </row>
    <row r="89" ht="15.75" customHeight="1">
      <c r="K89" s="248" t="n"/>
      <c r="L89" s="248" t="n"/>
      <c r="M89" s="248" t="n"/>
      <c r="N89" s="248" t="n"/>
      <c r="O89" s="248" t="n"/>
      <c r="P89" s="248" t="n"/>
    </row>
    <row r="90" ht="15.75" customHeight="1">
      <c r="K90" s="248" t="n"/>
      <c r="L90" s="248" t="n"/>
      <c r="M90" s="248" t="n"/>
      <c r="N90" s="248" t="n"/>
      <c r="O90" s="248" t="n"/>
      <c r="P90" s="248" t="n"/>
    </row>
    <row r="91" ht="15.75" customHeight="1">
      <c r="K91" s="248" t="n"/>
      <c r="L91" s="248" t="n"/>
      <c r="M91" s="248" t="n"/>
      <c r="N91" s="248" t="n"/>
      <c r="O91" s="248" t="n"/>
      <c r="P91" s="248" t="n"/>
    </row>
    <row r="92" ht="15.75" customHeight="1">
      <c r="K92" s="248" t="n"/>
      <c r="L92" s="248" t="n"/>
      <c r="M92" s="248" t="n"/>
      <c r="N92" s="248" t="n"/>
      <c r="O92" s="248" t="n"/>
      <c r="P92" s="248" t="n"/>
    </row>
    <row r="93" ht="15.75" customHeight="1">
      <c r="K93" s="248" t="n"/>
      <c r="L93" s="248" t="n"/>
      <c r="M93" s="248" t="n"/>
      <c r="N93" s="248" t="n"/>
      <c r="O93" s="248" t="n"/>
      <c r="P93" s="248" t="n"/>
    </row>
    <row r="94" ht="15.75" customHeight="1">
      <c r="K94" s="248" t="n"/>
      <c r="L94" s="248" t="n"/>
      <c r="M94" s="248" t="n"/>
      <c r="N94" s="248" t="n"/>
      <c r="O94" s="248" t="n"/>
      <c r="P94" s="248" t="n"/>
    </row>
    <row r="95" ht="15.75" customHeight="1">
      <c r="K95" s="248" t="n"/>
      <c r="L95" s="248" t="n"/>
      <c r="M95" s="248" t="n"/>
      <c r="N95" s="248" t="n"/>
      <c r="O95" s="248" t="n"/>
      <c r="P95" s="248" t="n"/>
    </row>
    <row r="96" ht="15.75" customHeight="1">
      <c r="K96" s="248" t="n"/>
      <c r="L96" s="248" t="n"/>
      <c r="M96" s="248" t="n"/>
      <c r="N96" s="248" t="n"/>
      <c r="O96" s="248" t="n"/>
      <c r="P96" s="248" t="n"/>
    </row>
    <row r="97" ht="15.75" customHeight="1">
      <c r="K97" s="248" t="n"/>
      <c r="L97" s="248" t="n"/>
      <c r="M97" s="248" t="n"/>
      <c r="N97" s="248" t="n"/>
      <c r="O97" s="248" t="n"/>
      <c r="P97" s="248" t="n"/>
    </row>
    <row r="98" ht="15.75" customHeight="1">
      <c r="K98" s="248" t="n"/>
      <c r="L98" s="248" t="n"/>
      <c r="M98" s="248" t="n"/>
      <c r="N98" s="248" t="n"/>
      <c r="O98" s="248" t="n"/>
      <c r="P98" s="248" t="n"/>
    </row>
    <row r="99" ht="15.75" customHeight="1">
      <c r="K99" s="248" t="n"/>
      <c r="L99" s="248" t="n"/>
      <c r="M99" s="248" t="n"/>
      <c r="N99" s="248" t="n"/>
      <c r="O99" s="248" t="n"/>
      <c r="P99" s="248" t="n"/>
    </row>
    <row r="100" ht="15.75" customHeight="1">
      <c r="K100" s="248" t="n"/>
      <c r="L100" s="248" t="n"/>
      <c r="M100" s="248" t="n"/>
      <c r="N100" s="248" t="n"/>
      <c r="O100" s="248" t="n"/>
      <c r="P100" s="248" t="n"/>
    </row>
    <row r="101" ht="15.75" customHeight="1">
      <c r="K101" s="248" t="n"/>
      <c r="L101" s="248" t="n"/>
      <c r="M101" s="248" t="n"/>
      <c r="N101" s="248" t="n"/>
      <c r="O101" s="248" t="n"/>
      <c r="P101" s="248" t="n"/>
    </row>
    <row r="102" ht="15.75" customHeight="1">
      <c r="K102" s="248" t="n"/>
      <c r="L102" s="248" t="n"/>
      <c r="M102" s="248" t="n"/>
      <c r="N102" s="248" t="n"/>
      <c r="O102" s="248" t="n"/>
      <c r="P102" s="248" t="n"/>
    </row>
    <row r="103" ht="15.75" customHeight="1">
      <c r="K103" s="248" t="n"/>
      <c r="L103" s="248" t="n"/>
      <c r="M103" s="248" t="n"/>
      <c r="N103" s="248" t="n"/>
      <c r="O103" s="248" t="n"/>
      <c r="P103" s="248" t="n"/>
    </row>
    <row r="104" ht="15.75" customHeight="1">
      <c r="K104" s="248" t="n"/>
      <c r="L104" s="248" t="n"/>
      <c r="M104" s="248" t="n"/>
      <c r="N104" s="248" t="n"/>
      <c r="O104" s="248" t="n"/>
      <c r="P104" s="248" t="n"/>
    </row>
    <row r="105" ht="15.75" customHeight="1">
      <c r="K105" s="248" t="n"/>
      <c r="L105" s="248" t="n"/>
      <c r="M105" s="248" t="n"/>
      <c r="N105" s="248" t="n"/>
      <c r="O105" s="248" t="n"/>
      <c r="P105" s="248" t="n"/>
    </row>
    <row r="106" ht="15.75" customHeight="1">
      <c r="K106" s="248" t="n"/>
      <c r="L106" s="248" t="n"/>
      <c r="M106" s="248" t="n"/>
      <c r="N106" s="248" t="n"/>
      <c r="O106" s="248" t="n"/>
      <c r="P106" s="248" t="n"/>
    </row>
    <row r="107" ht="15.75" customHeight="1">
      <c r="K107" s="248" t="n"/>
      <c r="L107" s="248" t="n"/>
      <c r="M107" s="248" t="n"/>
      <c r="N107" s="248" t="n"/>
      <c r="O107" s="248" t="n"/>
      <c r="P107" s="248" t="n"/>
    </row>
    <row r="108" ht="15.75" customHeight="1">
      <c r="K108" s="248" t="n"/>
      <c r="L108" s="248" t="n"/>
      <c r="M108" s="248" t="n"/>
      <c r="N108" s="248" t="n"/>
      <c r="O108" s="248" t="n"/>
      <c r="P108" s="248" t="n"/>
    </row>
    <row r="109" ht="15.75" customHeight="1">
      <c r="K109" s="248" t="n"/>
      <c r="L109" s="248" t="n"/>
      <c r="M109" s="248" t="n"/>
      <c r="N109" s="248" t="n"/>
      <c r="O109" s="248" t="n"/>
      <c r="P109" s="248" t="n"/>
    </row>
    <row r="110" ht="15.75" customHeight="1">
      <c r="K110" s="248" t="n"/>
      <c r="L110" s="248" t="n"/>
      <c r="M110" s="248" t="n"/>
      <c r="N110" s="248" t="n"/>
      <c r="O110" s="248" t="n"/>
      <c r="P110" s="248" t="n"/>
    </row>
    <row r="111" ht="15.75" customHeight="1">
      <c r="K111" s="248" t="n"/>
      <c r="L111" s="248" t="n"/>
      <c r="M111" s="248" t="n"/>
      <c r="N111" s="248" t="n"/>
      <c r="O111" s="248" t="n"/>
      <c r="P111" s="248" t="n"/>
    </row>
    <row r="112" ht="15.75" customHeight="1">
      <c r="K112" s="248" t="n"/>
      <c r="L112" s="248" t="n"/>
      <c r="M112" s="248" t="n"/>
      <c r="N112" s="248" t="n"/>
      <c r="O112" s="248" t="n"/>
      <c r="P112" s="248" t="n"/>
    </row>
    <row r="113" ht="15.75" customHeight="1">
      <c r="K113" s="248" t="n"/>
      <c r="L113" s="248" t="n"/>
      <c r="M113" s="248" t="n"/>
      <c r="N113" s="248" t="n"/>
      <c r="O113" s="248" t="n"/>
      <c r="P113" s="248" t="n"/>
    </row>
    <row r="114" ht="15.75" customHeight="1">
      <c r="K114" s="248" t="n"/>
      <c r="L114" s="248" t="n"/>
      <c r="M114" s="248" t="n"/>
      <c r="N114" s="248" t="n"/>
      <c r="O114" s="248" t="n"/>
      <c r="P114" s="248" t="n"/>
    </row>
    <row r="115" ht="15.75" customHeight="1">
      <c r="K115" s="248" t="n"/>
      <c r="L115" s="248" t="n"/>
      <c r="M115" s="248" t="n"/>
      <c r="N115" s="248" t="n"/>
      <c r="O115" s="248" t="n"/>
      <c r="P115" s="248" t="n"/>
    </row>
    <row r="116" ht="15.75" customHeight="1">
      <c r="K116" s="248" t="n"/>
      <c r="L116" s="248" t="n"/>
      <c r="M116" s="248" t="n"/>
      <c r="N116" s="248" t="n"/>
      <c r="O116" s="248" t="n"/>
      <c r="P116" s="248" t="n"/>
    </row>
    <row r="117" ht="15.75" customHeight="1">
      <c r="K117" s="248" t="n"/>
      <c r="L117" s="248" t="n"/>
      <c r="M117" s="248" t="n"/>
      <c r="N117" s="248" t="n"/>
      <c r="O117" s="248" t="n"/>
      <c r="P117" s="248" t="n"/>
    </row>
    <row r="118" ht="15.75" customHeight="1">
      <c r="K118" s="248" t="n"/>
      <c r="L118" s="248" t="n"/>
      <c r="M118" s="248" t="n"/>
      <c r="N118" s="248" t="n"/>
      <c r="O118" s="248" t="n"/>
      <c r="P118" s="248" t="n"/>
    </row>
    <row r="119" ht="15.75" customHeight="1">
      <c r="K119" s="248" t="n"/>
      <c r="L119" s="248" t="n"/>
      <c r="M119" s="248" t="n"/>
      <c r="N119" s="248" t="n"/>
      <c r="O119" s="248" t="n"/>
      <c r="P119" s="248" t="n"/>
    </row>
    <row r="120" ht="15.75" customHeight="1">
      <c r="K120" s="248" t="n"/>
      <c r="L120" s="248" t="n"/>
      <c r="M120" s="248" t="n"/>
      <c r="N120" s="248" t="n"/>
      <c r="O120" s="248" t="n"/>
      <c r="P120" s="248" t="n"/>
    </row>
    <row r="121" ht="15.75" customHeight="1">
      <c r="K121" s="248" t="n"/>
      <c r="L121" s="248" t="n"/>
      <c r="M121" s="248" t="n"/>
      <c r="N121" s="248" t="n"/>
      <c r="O121" s="248" t="n"/>
      <c r="P121" s="248" t="n"/>
    </row>
    <row r="122" ht="15.75" customHeight="1">
      <c r="K122" s="248" t="n"/>
      <c r="L122" s="248" t="n"/>
      <c r="M122" s="248" t="n"/>
      <c r="N122" s="248" t="n"/>
      <c r="O122" s="248" t="n"/>
      <c r="P122" s="248" t="n"/>
    </row>
    <row r="123" ht="15.75" customHeight="1">
      <c r="K123" s="248" t="n"/>
      <c r="L123" s="248" t="n"/>
      <c r="M123" s="248" t="n"/>
      <c r="N123" s="248" t="n"/>
      <c r="O123" s="248" t="n"/>
      <c r="P123" s="248" t="n"/>
    </row>
    <row r="124" ht="15.75" customHeight="1">
      <c r="K124" s="248" t="n"/>
      <c r="L124" s="248" t="n"/>
      <c r="M124" s="248" t="n"/>
      <c r="N124" s="248" t="n"/>
      <c r="O124" s="248" t="n"/>
      <c r="P124" s="248" t="n"/>
    </row>
    <row r="125" ht="15.75" customHeight="1">
      <c r="K125" s="248" t="n"/>
      <c r="L125" s="248" t="n"/>
      <c r="M125" s="248" t="n"/>
      <c r="N125" s="248" t="n"/>
      <c r="O125" s="248" t="n"/>
      <c r="P125" s="248" t="n"/>
    </row>
    <row r="126" ht="15.75" customHeight="1">
      <c r="K126" s="248" t="n"/>
      <c r="L126" s="248" t="n"/>
      <c r="M126" s="248" t="n"/>
      <c r="N126" s="248" t="n"/>
      <c r="O126" s="248" t="n"/>
      <c r="P126" s="248" t="n"/>
    </row>
    <row r="127" ht="15.75" customHeight="1">
      <c r="K127" s="248" t="n"/>
      <c r="L127" s="248" t="n"/>
      <c r="M127" s="248" t="n"/>
      <c r="N127" s="248" t="n"/>
      <c r="O127" s="248" t="n"/>
      <c r="P127" s="248" t="n"/>
    </row>
    <row r="128" ht="15.75" customHeight="1">
      <c r="K128" s="248" t="n"/>
      <c r="L128" s="248" t="n"/>
      <c r="M128" s="248" t="n"/>
      <c r="N128" s="248" t="n"/>
      <c r="O128" s="248" t="n"/>
      <c r="P128" s="248" t="n"/>
    </row>
    <row r="129" ht="15.75" customHeight="1">
      <c r="K129" s="248" t="n"/>
      <c r="L129" s="248" t="n"/>
      <c r="M129" s="248" t="n"/>
      <c r="N129" s="248" t="n"/>
      <c r="O129" s="248" t="n"/>
      <c r="P129" s="248" t="n"/>
    </row>
    <row r="130" ht="15.75" customHeight="1">
      <c r="K130" s="248" t="n"/>
      <c r="L130" s="248" t="n"/>
      <c r="M130" s="248" t="n"/>
      <c r="N130" s="248" t="n"/>
      <c r="O130" s="248" t="n"/>
      <c r="P130" s="248" t="n"/>
    </row>
    <row r="131" ht="15.75" customHeight="1">
      <c r="K131" s="248" t="n"/>
      <c r="L131" s="248" t="n"/>
      <c r="M131" s="248" t="n"/>
      <c r="N131" s="248" t="n"/>
      <c r="O131" s="248" t="n"/>
      <c r="P131" s="248" t="n"/>
    </row>
    <row r="132" ht="15.75" customHeight="1">
      <c r="K132" s="248" t="n"/>
      <c r="L132" s="248" t="n"/>
      <c r="M132" s="248" t="n"/>
      <c r="N132" s="248" t="n"/>
      <c r="O132" s="248" t="n"/>
      <c r="P132" s="248" t="n"/>
    </row>
    <row r="133" ht="15.75" customHeight="1">
      <c r="K133" s="248" t="n"/>
      <c r="L133" s="248" t="n"/>
      <c r="M133" s="248" t="n"/>
      <c r="N133" s="248" t="n"/>
      <c r="O133" s="248" t="n"/>
      <c r="P133" s="248" t="n"/>
    </row>
    <row r="134" ht="15.75" customHeight="1">
      <c r="K134" s="248" t="n"/>
      <c r="L134" s="248" t="n"/>
      <c r="M134" s="248" t="n"/>
      <c r="N134" s="248" t="n"/>
      <c r="O134" s="248" t="n"/>
      <c r="P134" s="248" t="n"/>
    </row>
    <row r="135" ht="15.75" customHeight="1">
      <c r="K135" s="248" t="n"/>
      <c r="L135" s="248" t="n"/>
      <c r="M135" s="248" t="n"/>
      <c r="N135" s="248" t="n"/>
      <c r="O135" s="248" t="n"/>
      <c r="P135" s="248" t="n"/>
    </row>
    <row r="136" ht="15.75" customHeight="1">
      <c r="K136" s="248" t="n"/>
      <c r="L136" s="248" t="n"/>
      <c r="M136" s="248" t="n"/>
      <c r="N136" s="248" t="n"/>
      <c r="O136" s="248" t="n"/>
      <c r="P136" s="248" t="n"/>
    </row>
    <row r="137" ht="15.75" customHeight="1">
      <c r="K137" s="248" t="n"/>
      <c r="L137" s="248" t="n"/>
      <c r="M137" s="248" t="n"/>
      <c r="N137" s="248" t="n"/>
      <c r="O137" s="248" t="n"/>
      <c r="P137" s="248" t="n"/>
    </row>
    <row r="138" ht="15.75" customHeight="1">
      <c r="K138" s="248" t="n"/>
      <c r="L138" s="248" t="n"/>
      <c r="M138" s="248" t="n"/>
      <c r="N138" s="248" t="n"/>
      <c r="O138" s="248" t="n"/>
      <c r="P138" s="248" t="n"/>
    </row>
    <row r="139" ht="15.75" customHeight="1">
      <c r="K139" s="248" t="n"/>
      <c r="L139" s="248" t="n"/>
      <c r="M139" s="248" t="n"/>
      <c r="N139" s="248" t="n"/>
      <c r="O139" s="248" t="n"/>
      <c r="P139" s="248" t="n"/>
    </row>
    <row r="140" ht="15.75" customHeight="1">
      <c r="K140" s="248" t="n"/>
      <c r="L140" s="248" t="n"/>
      <c r="M140" s="248" t="n"/>
      <c r="N140" s="248" t="n"/>
      <c r="O140" s="248" t="n"/>
      <c r="P140" s="248" t="n"/>
    </row>
    <row r="141" ht="15.75" customHeight="1">
      <c r="K141" s="248" t="n"/>
      <c r="L141" s="248" t="n"/>
      <c r="M141" s="248" t="n"/>
      <c r="N141" s="248" t="n"/>
      <c r="O141" s="248" t="n"/>
      <c r="P141" s="248" t="n"/>
    </row>
    <row r="142" ht="15.75" customHeight="1">
      <c r="K142" s="248" t="n"/>
      <c r="L142" s="248" t="n"/>
      <c r="M142" s="248" t="n"/>
      <c r="N142" s="248" t="n"/>
      <c r="O142" s="248" t="n"/>
      <c r="P142" s="248" t="n"/>
    </row>
    <row r="143" ht="15.75" customHeight="1">
      <c r="K143" s="248" t="n"/>
      <c r="L143" s="248" t="n"/>
      <c r="M143" s="248" t="n"/>
      <c r="N143" s="248" t="n"/>
      <c r="O143" s="248" t="n"/>
      <c r="P143" s="248" t="n"/>
    </row>
    <row r="144" ht="15.75" customHeight="1">
      <c r="K144" s="248" t="n"/>
      <c r="L144" s="248" t="n"/>
      <c r="M144" s="248" t="n"/>
      <c r="N144" s="248" t="n"/>
      <c r="O144" s="248" t="n"/>
      <c r="P144" s="248" t="n"/>
    </row>
    <row r="145" ht="15.75" customHeight="1">
      <c r="K145" s="248" t="n"/>
      <c r="L145" s="248" t="n"/>
      <c r="M145" s="248" t="n"/>
      <c r="N145" s="248" t="n"/>
      <c r="O145" s="248" t="n"/>
      <c r="P145" s="248" t="n"/>
    </row>
    <row r="146" ht="15.75" customHeight="1">
      <c r="K146" s="248" t="n"/>
      <c r="L146" s="248" t="n"/>
      <c r="M146" s="248" t="n"/>
      <c r="N146" s="248" t="n"/>
      <c r="O146" s="248" t="n"/>
      <c r="P146" s="248" t="n"/>
    </row>
    <row r="147" ht="15.75" customHeight="1">
      <c r="K147" s="248" t="n"/>
      <c r="L147" s="248" t="n"/>
      <c r="M147" s="248" t="n"/>
      <c r="N147" s="248" t="n"/>
      <c r="O147" s="248" t="n"/>
      <c r="P147" s="248" t="n"/>
    </row>
    <row r="148" ht="15.75" customHeight="1">
      <c r="K148" s="248" t="n"/>
      <c r="L148" s="248" t="n"/>
      <c r="M148" s="248" t="n"/>
      <c r="N148" s="248" t="n"/>
      <c r="O148" s="248" t="n"/>
      <c r="P148" s="248" t="n"/>
    </row>
    <row r="149" ht="15.75" customHeight="1">
      <c r="K149" s="248" t="n"/>
      <c r="L149" s="248" t="n"/>
      <c r="M149" s="248" t="n"/>
      <c r="N149" s="248" t="n"/>
      <c r="O149" s="248" t="n"/>
      <c r="P149" s="248" t="n"/>
    </row>
    <row r="150" ht="15.75" customHeight="1">
      <c r="K150" s="248" t="n"/>
      <c r="L150" s="248" t="n"/>
      <c r="M150" s="248" t="n"/>
      <c r="N150" s="248" t="n"/>
      <c r="O150" s="248" t="n"/>
      <c r="P150" s="248" t="n"/>
    </row>
    <row r="151" ht="15.75" customHeight="1">
      <c r="K151" s="248" t="n"/>
      <c r="L151" s="248" t="n"/>
      <c r="M151" s="248" t="n"/>
      <c r="N151" s="248" t="n"/>
      <c r="O151" s="248" t="n"/>
      <c r="P151" s="248" t="n"/>
    </row>
    <row r="152" ht="15.75" customHeight="1">
      <c r="K152" s="248" t="n"/>
      <c r="L152" s="248" t="n"/>
      <c r="M152" s="248" t="n"/>
      <c r="N152" s="248" t="n"/>
      <c r="O152" s="248" t="n"/>
      <c r="P152" s="248" t="n"/>
    </row>
    <row r="153" ht="15.75" customHeight="1">
      <c r="K153" s="248" t="n"/>
      <c r="L153" s="248" t="n"/>
      <c r="M153" s="248" t="n"/>
      <c r="N153" s="248" t="n"/>
      <c r="O153" s="248" t="n"/>
      <c r="P153" s="248" t="n"/>
    </row>
    <row r="154" ht="15.75" customHeight="1">
      <c r="K154" s="248" t="n"/>
      <c r="L154" s="248" t="n"/>
      <c r="M154" s="248" t="n"/>
      <c r="N154" s="248" t="n"/>
      <c r="O154" s="248" t="n"/>
      <c r="P154" s="248" t="n"/>
    </row>
    <row r="155" ht="15.75" customHeight="1">
      <c r="K155" s="248" t="n"/>
      <c r="L155" s="248" t="n"/>
      <c r="M155" s="248" t="n"/>
      <c r="N155" s="248" t="n"/>
      <c r="O155" s="248" t="n"/>
      <c r="P155" s="248" t="n"/>
    </row>
    <row r="156" ht="15.75" customHeight="1">
      <c r="K156" s="248" t="n"/>
      <c r="L156" s="248" t="n"/>
      <c r="M156" s="248" t="n"/>
      <c r="N156" s="248" t="n"/>
      <c r="O156" s="248" t="n"/>
      <c r="P156" s="248" t="n"/>
    </row>
    <row r="157" ht="15.75" customHeight="1">
      <c r="K157" s="248" t="n"/>
      <c r="L157" s="248" t="n"/>
      <c r="M157" s="248" t="n"/>
      <c r="N157" s="248" t="n"/>
      <c r="O157" s="248" t="n"/>
      <c r="P157" s="248" t="n"/>
    </row>
    <row r="158" ht="15.75" customHeight="1">
      <c r="K158" s="248" t="n"/>
      <c r="L158" s="248" t="n"/>
      <c r="M158" s="248" t="n"/>
      <c r="N158" s="248" t="n"/>
      <c r="O158" s="248" t="n"/>
      <c r="P158" s="248" t="n"/>
    </row>
    <row r="159" ht="15.75" customHeight="1">
      <c r="K159" s="248" t="n"/>
      <c r="L159" s="248" t="n"/>
      <c r="M159" s="248" t="n"/>
      <c r="N159" s="248" t="n"/>
      <c r="O159" s="248" t="n"/>
      <c r="P159" s="248" t="n"/>
    </row>
    <row r="160" ht="15.75" customHeight="1">
      <c r="K160" s="248" t="n"/>
      <c r="L160" s="248" t="n"/>
      <c r="M160" s="248" t="n"/>
      <c r="N160" s="248" t="n"/>
      <c r="O160" s="248" t="n"/>
      <c r="P160" s="248" t="n"/>
    </row>
    <row r="161" ht="15.75" customHeight="1">
      <c r="K161" s="248" t="n"/>
      <c r="L161" s="248" t="n"/>
      <c r="M161" s="248" t="n"/>
      <c r="N161" s="248" t="n"/>
      <c r="O161" s="248" t="n"/>
      <c r="P161" s="248" t="n"/>
    </row>
    <row r="162" ht="15.75" customHeight="1">
      <c r="K162" s="248" t="n"/>
      <c r="L162" s="248" t="n"/>
      <c r="M162" s="248" t="n"/>
      <c r="N162" s="248" t="n"/>
      <c r="O162" s="248" t="n"/>
      <c r="P162" s="248" t="n"/>
    </row>
    <row r="163" ht="15.75" customHeight="1">
      <c r="K163" s="248" t="n"/>
      <c r="L163" s="248" t="n"/>
      <c r="M163" s="248" t="n"/>
      <c r="N163" s="248" t="n"/>
      <c r="O163" s="248" t="n"/>
      <c r="P163" s="248" t="n"/>
    </row>
    <row r="164" ht="15.75" customHeight="1">
      <c r="K164" s="248" t="n"/>
      <c r="L164" s="248" t="n"/>
      <c r="M164" s="248" t="n"/>
      <c r="N164" s="248" t="n"/>
      <c r="O164" s="248" t="n"/>
      <c r="P164" s="248" t="n"/>
    </row>
    <row r="165" ht="15.75" customHeight="1">
      <c r="K165" s="248" t="n"/>
      <c r="L165" s="248" t="n"/>
      <c r="M165" s="248" t="n"/>
      <c r="N165" s="248" t="n"/>
      <c r="O165" s="248" t="n"/>
      <c r="P165" s="248" t="n"/>
    </row>
    <row r="166" ht="15.75" customHeight="1">
      <c r="K166" s="248" t="n"/>
      <c r="L166" s="248" t="n"/>
      <c r="M166" s="248" t="n"/>
      <c r="N166" s="248" t="n"/>
      <c r="O166" s="248" t="n"/>
      <c r="P166" s="248" t="n"/>
    </row>
    <row r="167" ht="15.75" customHeight="1">
      <c r="K167" s="248" t="n"/>
      <c r="L167" s="248" t="n"/>
      <c r="M167" s="248" t="n"/>
      <c r="N167" s="248" t="n"/>
      <c r="O167" s="248" t="n"/>
      <c r="P167" s="248" t="n"/>
    </row>
    <row r="168" ht="15.75" customHeight="1">
      <c r="K168" s="248" t="n"/>
      <c r="L168" s="248" t="n"/>
      <c r="M168" s="248" t="n"/>
      <c r="N168" s="248" t="n"/>
      <c r="O168" s="248" t="n"/>
      <c r="P168" s="248" t="n"/>
    </row>
    <row r="169" ht="15.75" customHeight="1">
      <c r="K169" s="248" t="n"/>
      <c r="L169" s="248" t="n"/>
      <c r="M169" s="248" t="n"/>
      <c r="N169" s="248" t="n"/>
      <c r="O169" s="248" t="n"/>
      <c r="P169" s="248" t="n"/>
    </row>
    <row r="170" ht="15.75" customHeight="1">
      <c r="K170" s="248" t="n"/>
      <c r="L170" s="248" t="n"/>
      <c r="M170" s="248" t="n"/>
      <c r="N170" s="248" t="n"/>
      <c r="O170" s="248" t="n"/>
      <c r="P170" s="248" t="n"/>
    </row>
    <row r="171" ht="15.75" customHeight="1">
      <c r="K171" s="248" t="n"/>
      <c r="L171" s="248" t="n"/>
      <c r="M171" s="248" t="n"/>
      <c r="N171" s="248" t="n"/>
      <c r="O171" s="248" t="n"/>
      <c r="P171" s="248" t="n"/>
    </row>
    <row r="172" ht="15.75" customHeight="1">
      <c r="K172" s="248" t="n"/>
      <c r="L172" s="248" t="n"/>
      <c r="M172" s="248" t="n"/>
      <c r="N172" s="248" t="n"/>
      <c r="O172" s="248" t="n"/>
      <c r="P172" s="248" t="n"/>
    </row>
    <row r="173" ht="15.75" customHeight="1">
      <c r="K173" s="248" t="n"/>
      <c r="L173" s="248" t="n"/>
      <c r="M173" s="248" t="n"/>
      <c r="N173" s="248" t="n"/>
      <c r="O173" s="248" t="n"/>
      <c r="P173" s="248" t="n"/>
    </row>
    <row r="174" ht="15.75" customHeight="1">
      <c r="K174" s="248" t="n"/>
      <c r="L174" s="248" t="n"/>
      <c r="M174" s="248" t="n"/>
      <c r="N174" s="248" t="n"/>
      <c r="O174" s="248" t="n"/>
      <c r="P174" s="248" t="n"/>
    </row>
    <row r="175" ht="15.75" customHeight="1">
      <c r="K175" s="248" t="n"/>
      <c r="L175" s="248" t="n"/>
      <c r="M175" s="248" t="n"/>
      <c r="N175" s="248" t="n"/>
      <c r="O175" s="248" t="n"/>
      <c r="P175" s="248" t="n"/>
    </row>
    <row r="176" ht="15.75" customHeight="1">
      <c r="K176" s="248" t="n"/>
      <c r="L176" s="248" t="n"/>
      <c r="M176" s="248" t="n"/>
      <c r="N176" s="248" t="n"/>
      <c r="O176" s="248" t="n"/>
      <c r="P176" s="248" t="n"/>
    </row>
    <row r="177" ht="15.75" customHeight="1">
      <c r="K177" s="248" t="n"/>
      <c r="L177" s="248" t="n"/>
      <c r="M177" s="248" t="n"/>
      <c r="N177" s="248" t="n"/>
      <c r="O177" s="248" t="n"/>
      <c r="P177" s="248" t="n"/>
    </row>
    <row r="178" ht="15.75" customHeight="1">
      <c r="K178" s="248" t="n"/>
      <c r="L178" s="248" t="n"/>
      <c r="M178" s="248" t="n"/>
      <c r="N178" s="248" t="n"/>
      <c r="O178" s="248" t="n"/>
      <c r="P178" s="248" t="n"/>
    </row>
    <row r="179" ht="15.75" customHeight="1">
      <c r="K179" s="248" t="n"/>
      <c r="L179" s="248" t="n"/>
      <c r="M179" s="248" t="n"/>
      <c r="N179" s="248" t="n"/>
      <c r="O179" s="248" t="n"/>
      <c r="P179" s="248" t="n"/>
    </row>
    <row r="180" ht="15.75" customHeight="1">
      <c r="K180" s="248" t="n"/>
      <c r="L180" s="248" t="n"/>
      <c r="M180" s="248" t="n"/>
      <c r="N180" s="248" t="n"/>
      <c r="O180" s="248" t="n"/>
      <c r="P180" s="248" t="n"/>
    </row>
    <row r="181" ht="15.75" customHeight="1">
      <c r="K181" s="248" t="n"/>
      <c r="L181" s="248" t="n"/>
      <c r="M181" s="248" t="n"/>
      <c r="N181" s="248" t="n"/>
      <c r="O181" s="248" t="n"/>
      <c r="P181" s="248" t="n"/>
    </row>
    <row r="182" ht="15.75" customHeight="1">
      <c r="K182" s="248" t="n"/>
      <c r="L182" s="248" t="n"/>
      <c r="M182" s="248" t="n"/>
      <c r="N182" s="248" t="n"/>
      <c r="O182" s="248" t="n"/>
      <c r="P182" s="248" t="n"/>
    </row>
    <row r="183" ht="15.75" customHeight="1">
      <c r="K183" s="248" t="n"/>
      <c r="L183" s="248" t="n"/>
      <c r="M183" s="248" t="n"/>
      <c r="N183" s="248" t="n"/>
      <c r="O183" s="248" t="n"/>
      <c r="P183" s="248" t="n"/>
    </row>
    <row r="184" ht="15.75" customHeight="1">
      <c r="K184" s="248" t="n"/>
      <c r="L184" s="248" t="n"/>
      <c r="M184" s="248" t="n"/>
      <c r="N184" s="248" t="n"/>
      <c r="O184" s="248" t="n"/>
      <c r="P184" s="248" t="n"/>
    </row>
    <row r="185" ht="15.75" customHeight="1">
      <c r="K185" s="248" t="n"/>
      <c r="L185" s="248" t="n"/>
      <c r="M185" s="248" t="n"/>
      <c r="N185" s="248" t="n"/>
      <c r="O185" s="248" t="n"/>
      <c r="P185" s="248" t="n"/>
    </row>
    <row r="186" ht="15.75" customHeight="1">
      <c r="K186" s="248" t="n"/>
      <c r="L186" s="248" t="n"/>
      <c r="M186" s="248" t="n"/>
      <c r="N186" s="248" t="n"/>
      <c r="O186" s="248" t="n"/>
      <c r="P186" s="248" t="n"/>
    </row>
    <row r="187" ht="15.75" customHeight="1">
      <c r="K187" s="248" t="n"/>
      <c r="L187" s="248" t="n"/>
      <c r="M187" s="248" t="n"/>
      <c r="N187" s="248" t="n"/>
      <c r="O187" s="248" t="n"/>
      <c r="P187" s="248" t="n"/>
    </row>
    <row r="188" ht="15.75" customHeight="1">
      <c r="K188" s="248" t="n"/>
      <c r="L188" s="248" t="n"/>
      <c r="M188" s="248" t="n"/>
      <c r="N188" s="248" t="n"/>
      <c r="O188" s="248" t="n"/>
      <c r="P188" s="248" t="n"/>
    </row>
    <row r="189" ht="15.75" customHeight="1">
      <c r="K189" s="248" t="n"/>
      <c r="L189" s="248" t="n"/>
      <c r="M189" s="248" t="n"/>
      <c r="N189" s="248" t="n"/>
      <c r="O189" s="248" t="n"/>
      <c r="P189" s="248" t="n"/>
    </row>
    <row r="190" ht="15.75" customHeight="1">
      <c r="K190" s="248" t="n"/>
      <c r="L190" s="248" t="n"/>
      <c r="M190" s="248" t="n"/>
      <c r="N190" s="248" t="n"/>
      <c r="O190" s="248" t="n"/>
      <c r="P190" s="248" t="n"/>
    </row>
    <row r="191" ht="15.75" customHeight="1">
      <c r="K191" s="248" t="n"/>
      <c r="L191" s="248" t="n"/>
      <c r="M191" s="248" t="n"/>
      <c r="N191" s="248" t="n"/>
      <c r="O191" s="248" t="n"/>
      <c r="P191" s="248" t="n"/>
    </row>
    <row r="192" ht="15.75" customHeight="1">
      <c r="K192" s="248" t="n"/>
      <c r="L192" s="248" t="n"/>
      <c r="M192" s="248" t="n"/>
      <c r="N192" s="248" t="n"/>
      <c r="O192" s="248" t="n"/>
      <c r="P192" s="248" t="n"/>
    </row>
    <row r="193" ht="15.75" customHeight="1">
      <c r="K193" s="248" t="n"/>
      <c r="L193" s="248" t="n"/>
      <c r="M193" s="248" t="n"/>
      <c r="N193" s="248" t="n"/>
      <c r="O193" s="248" t="n"/>
      <c r="P193" s="248" t="n"/>
    </row>
    <row r="194" ht="15.75" customHeight="1">
      <c r="K194" s="248" t="n"/>
      <c r="L194" s="248" t="n"/>
      <c r="M194" s="248" t="n"/>
      <c r="N194" s="248" t="n"/>
      <c r="O194" s="248" t="n"/>
      <c r="P194" s="248" t="n"/>
    </row>
    <row r="195" ht="15.75" customHeight="1">
      <c r="K195" s="248" t="n"/>
      <c r="L195" s="248" t="n"/>
      <c r="M195" s="248" t="n"/>
      <c r="N195" s="248" t="n"/>
      <c r="O195" s="248" t="n"/>
      <c r="P195" s="248" t="n"/>
    </row>
    <row r="196" ht="15.75" customHeight="1">
      <c r="K196" s="248" t="n"/>
      <c r="L196" s="248" t="n"/>
      <c r="M196" s="248" t="n"/>
      <c r="N196" s="248" t="n"/>
      <c r="O196" s="248" t="n"/>
      <c r="P196" s="248" t="n"/>
    </row>
    <row r="197" ht="15.75" customHeight="1">
      <c r="K197" s="248" t="n"/>
      <c r="L197" s="248" t="n"/>
      <c r="M197" s="248" t="n"/>
      <c r="N197" s="248" t="n"/>
      <c r="O197" s="248" t="n"/>
      <c r="P197" s="248" t="n"/>
    </row>
    <row r="198" ht="15.75" customHeight="1">
      <c r="K198" s="248" t="n"/>
      <c r="L198" s="248" t="n"/>
      <c r="M198" s="248" t="n"/>
      <c r="N198" s="248" t="n"/>
      <c r="O198" s="248" t="n"/>
      <c r="P198" s="248" t="n"/>
    </row>
    <row r="199" ht="15.75" customHeight="1">
      <c r="K199" s="248" t="n"/>
      <c r="L199" s="248" t="n"/>
      <c r="M199" s="248" t="n"/>
      <c r="N199" s="248" t="n"/>
      <c r="O199" s="248" t="n"/>
      <c r="P199" s="248" t="n"/>
    </row>
    <row r="200" ht="15.75" customHeight="1">
      <c r="K200" s="248" t="n"/>
      <c r="L200" s="248" t="n"/>
      <c r="M200" s="248" t="n"/>
      <c r="N200" s="248" t="n"/>
      <c r="O200" s="248" t="n"/>
      <c r="P200" s="248" t="n"/>
    </row>
    <row r="201" ht="15.75" customHeight="1">
      <c r="K201" s="248" t="n"/>
      <c r="L201" s="248" t="n"/>
      <c r="M201" s="248" t="n"/>
      <c r="N201" s="248" t="n"/>
      <c r="O201" s="248" t="n"/>
      <c r="P201" s="248" t="n"/>
    </row>
    <row r="202" ht="15.75" customHeight="1">
      <c r="K202" s="248" t="n"/>
      <c r="L202" s="248" t="n"/>
      <c r="M202" s="248" t="n"/>
      <c r="N202" s="248" t="n"/>
      <c r="O202" s="248" t="n"/>
      <c r="P202" s="248" t="n"/>
    </row>
    <row r="203" ht="15.75" customHeight="1">
      <c r="K203" s="248" t="n"/>
      <c r="L203" s="248" t="n"/>
      <c r="M203" s="248" t="n"/>
      <c r="N203" s="248" t="n"/>
      <c r="O203" s="248" t="n"/>
      <c r="P203" s="248" t="n"/>
    </row>
    <row r="204" ht="15.75" customHeight="1">
      <c r="K204" s="248" t="n"/>
      <c r="L204" s="248" t="n"/>
      <c r="M204" s="248" t="n"/>
      <c r="N204" s="248" t="n"/>
      <c r="O204" s="248" t="n"/>
      <c r="P204" s="248" t="n"/>
    </row>
    <row r="205" ht="15.75" customHeight="1">
      <c r="K205" s="248" t="n"/>
      <c r="L205" s="248" t="n"/>
      <c r="M205" s="248" t="n"/>
      <c r="N205" s="248" t="n"/>
      <c r="O205" s="248" t="n"/>
      <c r="P205" s="248" t="n"/>
    </row>
    <row r="206" ht="15.75" customHeight="1">
      <c r="K206" s="248" t="n"/>
      <c r="L206" s="248" t="n"/>
      <c r="M206" s="248" t="n"/>
      <c r="N206" s="248" t="n"/>
      <c r="O206" s="248" t="n"/>
      <c r="P206" s="248" t="n"/>
    </row>
    <row r="207" ht="15.75" customHeight="1">
      <c r="K207" s="248" t="n"/>
      <c r="L207" s="248" t="n"/>
      <c r="M207" s="248" t="n"/>
      <c r="N207" s="248" t="n"/>
      <c r="O207" s="248" t="n"/>
      <c r="P207" s="248" t="n"/>
    </row>
    <row r="208" ht="15.75" customHeight="1">
      <c r="K208" s="248" t="n"/>
      <c r="L208" s="248" t="n"/>
      <c r="M208" s="248" t="n"/>
      <c r="N208" s="248" t="n"/>
      <c r="O208" s="248" t="n"/>
      <c r="P208" s="248" t="n"/>
    </row>
    <row r="209" ht="15.75" customHeight="1">
      <c r="K209" s="248" t="n"/>
      <c r="L209" s="248" t="n"/>
      <c r="M209" s="248" t="n"/>
      <c r="N209" s="248" t="n"/>
      <c r="O209" s="248" t="n"/>
      <c r="P209" s="248" t="n"/>
    </row>
    <row r="210" ht="15.75" customHeight="1">
      <c r="K210" s="248" t="n"/>
      <c r="L210" s="248" t="n"/>
      <c r="M210" s="248" t="n"/>
      <c r="N210" s="248" t="n"/>
      <c r="O210" s="248" t="n"/>
      <c r="P210" s="248" t="n"/>
    </row>
    <row r="211" ht="15.75" customHeight="1">
      <c r="K211" s="248" t="n"/>
      <c r="L211" s="248" t="n"/>
      <c r="M211" s="248" t="n"/>
      <c r="N211" s="248" t="n"/>
      <c r="O211" s="248" t="n"/>
      <c r="P211" s="248" t="n"/>
    </row>
    <row r="212" ht="15.75" customHeight="1">
      <c r="K212" s="248" t="n"/>
      <c r="L212" s="248" t="n"/>
      <c r="M212" s="248" t="n"/>
      <c r="N212" s="248" t="n"/>
      <c r="O212" s="248" t="n"/>
      <c r="P212" s="248" t="n"/>
    </row>
    <row r="213" ht="15.75" customHeight="1">
      <c r="K213" s="248" t="n"/>
      <c r="L213" s="248" t="n"/>
      <c r="M213" s="248" t="n"/>
      <c r="N213" s="248" t="n"/>
      <c r="O213" s="248" t="n"/>
      <c r="P213" s="248" t="n"/>
    </row>
    <row r="214" ht="15.75" customHeight="1">
      <c r="K214" s="248" t="n"/>
      <c r="L214" s="248" t="n"/>
      <c r="M214" s="248" t="n"/>
      <c r="N214" s="248" t="n"/>
      <c r="O214" s="248" t="n"/>
      <c r="P214" s="248" t="n"/>
    </row>
    <row r="215" ht="15.75" customHeight="1">
      <c r="K215" s="248" t="n"/>
      <c r="L215" s="248" t="n"/>
      <c r="M215" s="248" t="n"/>
      <c r="N215" s="248" t="n"/>
      <c r="O215" s="248" t="n"/>
      <c r="P215" s="248" t="n"/>
    </row>
    <row r="216" ht="15.75" customHeight="1">
      <c r="K216" s="248" t="n"/>
      <c r="L216" s="248" t="n"/>
      <c r="M216" s="248" t="n"/>
      <c r="N216" s="248" t="n"/>
      <c r="O216" s="248" t="n"/>
      <c r="P216" s="248" t="n"/>
    </row>
    <row r="217" ht="15.75" customHeight="1">
      <c r="K217" s="248" t="n"/>
      <c r="L217" s="248" t="n"/>
      <c r="M217" s="248" t="n"/>
      <c r="N217" s="248" t="n"/>
      <c r="O217" s="248" t="n"/>
      <c r="P217" s="248" t="n"/>
    </row>
    <row r="218" ht="15.75" customHeight="1">
      <c r="K218" s="248" t="n"/>
      <c r="L218" s="248" t="n"/>
      <c r="M218" s="248" t="n"/>
      <c r="N218" s="248" t="n"/>
      <c r="O218" s="248" t="n"/>
      <c r="P218" s="248" t="n"/>
    </row>
    <row r="219" ht="15.75" customHeight="1">
      <c r="K219" s="248" t="n"/>
      <c r="L219" s="248" t="n"/>
      <c r="M219" s="248" t="n"/>
      <c r="N219" s="248" t="n"/>
      <c r="O219" s="248" t="n"/>
      <c r="P219" s="248" t="n"/>
    </row>
    <row r="220" ht="15.75" customHeight="1">
      <c r="K220" s="248" t="n"/>
      <c r="L220" s="248" t="n"/>
      <c r="M220" s="248" t="n"/>
      <c r="N220" s="248" t="n"/>
      <c r="O220" s="248" t="n"/>
      <c r="P220" s="248" t="n"/>
    </row>
    <row r="221" ht="15.75" customHeight="1">
      <c r="K221" s="248" t="n"/>
      <c r="L221" s="248" t="n"/>
      <c r="M221" s="248" t="n"/>
      <c r="N221" s="248" t="n"/>
      <c r="O221" s="248" t="n"/>
      <c r="P221" s="248" t="n"/>
    </row>
    <row r="222" ht="15.75" customHeight="1">
      <c r="K222" s="248" t="n"/>
      <c r="L222" s="248" t="n"/>
      <c r="M222" s="248" t="n"/>
      <c r="N222" s="248" t="n"/>
      <c r="O222" s="248" t="n"/>
      <c r="P222" s="248" t="n"/>
    </row>
    <row r="223" ht="15.75" customHeight="1">
      <c r="K223" s="248" t="n"/>
      <c r="L223" s="248" t="n"/>
      <c r="M223" s="248" t="n"/>
      <c r="N223" s="248" t="n"/>
      <c r="O223" s="248" t="n"/>
      <c r="P223" s="248" t="n"/>
    </row>
    <row r="224" ht="15.75" customHeight="1">
      <c r="K224" s="248" t="n"/>
      <c r="L224" s="248" t="n"/>
      <c r="M224" s="248" t="n"/>
      <c r="N224" s="248" t="n"/>
      <c r="O224" s="248" t="n"/>
      <c r="P224" s="248" t="n"/>
    </row>
    <row r="225" ht="15.75" customHeight="1">
      <c r="K225" s="248" t="n"/>
      <c r="L225" s="248" t="n"/>
      <c r="M225" s="248" t="n"/>
      <c r="N225" s="248" t="n"/>
      <c r="O225" s="248" t="n"/>
      <c r="P225" s="248" t="n"/>
    </row>
    <row r="226" ht="15.75" customHeight="1">
      <c r="K226" s="248" t="n"/>
      <c r="L226" s="248" t="n"/>
      <c r="M226" s="248" t="n"/>
      <c r="N226" s="248" t="n"/>
      <c r="O226" s="248" t="n"/>
      <c r="P226" s="248" t="n"/>
    </row>
    <row r="227" ht="15.75" customHeight="1">
      <c r="K227" s="248" t="n"/>
      <c r="L227" s="248" t="n"/>
      <c r="M227" s="248" t="n"/>
      <c r="N227" s="248" t="n"/>
      <c r="O227" s="248" t="n"/>
      <c r="P227" s="248" t="n"/>
    </row>
    <row r="228" ht="15.75" customHeight="1">
      <c r="K228" s="248" t="n"/>
      <c r="L228" s="248" t="n"/>
      <c r="M228" s="248" t="n"/>
      <c r="N228" s="248" t="n"/>
      <c r="O228" s="248" t="n"/>
      <c r="P228" s="248" t="n"/>
    </row>
    <row r="229" ht="15.75" customHeight="1">
      <c r="K229" s="248" t="n"/>
      <c r="L229" s="248" t="n"/>
      <c r="M229" s="248" t="n"/>
      <c r="N229" s="248" t="n"/>
      <c r="O229" s="248" t="n"/>
      <c r="P229" s="248" t="n"/>
    </row>
    <row r="230" ht="15.75" customHeight="1">
      <c r="K230" s="248" t="n"/>
      <c r="L230" s="248" t="n"/>
      <c r="M230" s="248" t="n"/>
      <c r="N230" s="248" t="n"/>
      <c r="O230" s="248" t="n"/>
      <c r="P230" s="248" t="n"/>
    </row>
    <row r="231" ht="15.75" customHeight="1">
      <c r="K231" s="248" t="n"/>
      <c r="L231" s="248" t="n"/>
      <c r="M231" s="248" t="n"/>
      <c r="N231" s="248" t="n"/>
      <c r="O231" s="248" t="n"/>
      <c r="P231" s="248" t="n"/>
    </row>
    <row r="232" ht="15.75" customHeight="1">
      <c r="K232" s="248" t="n"/>
      <c r="L232" s="248" t="n"/>
      <c r="M232" s="248" t="n"/>
      <c r="N232" s="248" t="n"/>
      <c r="O232" s="248" t="n"/>
      <c r="P232" s="248" t="n"/>
    </row>
    <row r="233" ht="15.75" customHeight="1">
      <c r="K233" s="248" t="n"/>
      <c r="L233" s="248" t="n"/>
      <c r="M233" s="248" t="n"/>
      <c r="N233" s="248" t="n"/>
      <c r="O233" s="248" t="n"/>
      <c r="P233" s="248" t="n"/>
    </row>
    <row r="234" ht="15.75" customHeight="1">
      <c r="K234" s="248" t="n"/>
      <c r="L234" s="248" t="n"/>
      <c r="M234" s="248" t="n"/>
      <c r="N234" s="248" t="n"/>
      <c r="O234" s="248" t="n"/>
      <c r="P234" s="248" t="n"/>
    </row>
    <row r="235" ht="15.75" customHeight="1">
      <c r="K235" s="248" t="n"/>
      <c r="L235" s="248" t="n"/>
      <c r="M235" s="248" t="n"/>
      <c r="N235" s="248" t="n"/>
      <c r="O235" s="248" t="n"/>
      <c r="P235" s="248" t="n"/>
    </row>
    <row r="236" ht="15.75" customHeight="1">
      <c r="K236" s="248" t="n"/>
      <c r="L236" s="248" t="n"/>
      <c r="M236" s="248" t="n"/>
      <c r="N236" s="248" t="n"/>
      <c r="O236" s="248" t="n"/>
      <c r="P236" s="248" t="n"/>
    </row>
    <row r="237" ht="15.75" customHeight="1">
      <c r="K237" s="248" t="n"/>
      <c r="L237" s="248" t="n"/>
      <c r="M237" s="248" t="n"/>
      <c r="N237" s="248" t="n"/>
      <c r="O237" s="248" t="n"/>
      <c r="P237" s="248" t="n"/>
    </row>
    <row r="238" ht="15.75" customHeight="1">
      <c r="K238" s="248" t="n"/>
      <c r="L238" s="248" t="n"/>
      <c r="M238" s="248" t="n"/>
      <c r="N238" s="248" t="n"/>
      <c r="O238" s="248" t="n"/>
      <c r="P238" s="248" t="n"/>
    </row>
    <row r="239" ht="15.75" customHeight="1">
      <c r="K239" s="248" t="n"/>
      <c r="L239" s="248" t="n"/>
      <c r="M239" s="248" t="n"/>
      <c r="N239" s="248" t="n"/>
      <c r="O239" s="248" t="n"/>
      <c r="P239" s="248" t="n"/>
    </row>
    <row r="240" ht="15.75" customHeight="1">
      <c r="K240" s="248" t="n"/>
      <c r="L240" s="248" t="n"/>
      <c r="M240" s="248" t="n"/>
      <c r="N240" s="248" t="n"/>
      <c r="O240" s="248" t="n"/>
      <c r="P240" s="248" t="n"/>
    </row>
    <row r="241" ht="15.75" customHeight="1">
      <c r="K241" s="248" t="n"/>
      <c r="L241" s="248" t="n"/>
      <c r="M241" s="248" t="n"/>
      <c r="N241" s="248" t="n"/>
      <c r="O241" s="248" t="n"/>
      <c r="P241" s="248" t="n"/>
    </row>
    <row r="242" ht="15.75" customHeight="1">
      <c r="K242" s="248" t="n"/>
      <c r="L242" s="248" t="n"/>
      <c r="M242" s="248" t="n"/>
      <c r="N242" s="248" t="n"/>
      <c r="O242" s="248" t="n"/>
      <c r="P242" s="248" t="n"/>
    </row>
    <row r="243" ht="15.75" customHeight="1">
      <c r="K243" s="248" t="n"/>
      <c r="L243" s="248" t="n"/>
      <c r="M243" s="248" t="n"/>
      <c r="N243" s="248" t="n"/>
      <c r="O243" s="248" t="n"/>
      <c r="P243" s="248" t="n"/>
    </row>
    <row r="244" ht="15.75" customHeight="1">
      <c r="K244" s="248" t="n"/>
      <c r="L244" s="248" t="n"/>
      <c r="M244" s="248" t="n"/>
      <c r="N244" s="248" t="n"/>
      <c r="O244" s="248" t="n"/>
      <c r="P244" s="248" t="n"/>
    </row>
    <row r="245" ht="15.75" customHeight="1">
      <c r="K245" s="248" t="n"/>
      <c r="L245" s="248" t="n"/>
      <c r="M245" s="248" t="n"/>
      <c r="N245" s="248" t="n"/>
      <c r="O245" s="248" t="n"/>
      <c r="P245" s="248" t="n"/>
    </row>
    <row r="246" ht="15.75" customHeight="1">
      <c r="K246" s="248" t="n"/>
      <c r="L246" s="248" t="n"/>
      <c r="M246" s="248" t="n"/>
      <c r="N246" s="248" t="n"/>
      <c r="O246" s="248" t="n"/>
      <c r="P246" s="248" t="n"/>
    </row>
    <row r="247" ht="15.75" customHeight="1">
      <c r="K247" s="248" t="n"/>
      <c r="L247" s="248" t="n"/>
      <c r="M247" s="248" t="n"/>
      <c r="N247" s="248" t="n"/>
      <c r="O247" s="248" t="n"/>
      <c r="P247" s="248" t="n"/>
    </row>
    <row r="248" ht="15.75" customHeight="1">
      <c r="K248" s="248" t="n"/>
      <c r="L248" s="248" t="n"/>
      <c r="M248" s="248" t="n"/>
      <c r="N248" s="248" t="n"/>
      <c r="O248" s="248" t="n"/>
      <c r="P248" s="248" t="n"/>
    </row>
    <row r="249" ht="15.75" customHeight="1">
      <c r="K249" s="248" t="n"/>
      <c r="L249" s="248" t="n"/>
      <c r="M249" s="248" t="n"/>
      <c r="N249" s="248" t="n"/>
      <c r="O249" s="248" t="n"/>
      <c r="P249" s="248" t="n"/>
    </row>
    <row r="250" ht="15.75" customHeight="1">
      <c r="K250" s="248" t="n"/>
      <c r="L250" s="248" t="n"/>
      <c r="M250" s="248" t="n"/>
      <c r="N250" s="248" t="n"/>
      <c r="O250" s="248" t="n"/>
      <c r="P250" s="248" t="n"/>
    </row>
    <row r="251" ht="15.75" customHeight="1">
      <c r="K251" s="248" t="n"/>
      <c r="L251" s="248" t="n"/>
      <c r="M251" s="248" t="n"/>
      <c r="N251" s="248" t="n"/>
      <c r="O251" s="248" t="n"/>
      <c r="P251" s="248" t="n"/>
    </row>
    <row r="252" ht="15.75" customHeight="1">
      <c r="K252" s="248" t="n"/>
      <c r="L252" s="248" t="n"/>
      <c r="M252" s="248" t="n"/>
      <c r="N252" s="248" t="n"/>
      <c r="O252" s="248" t="n"/>
      <c r="P252" s="248" t="n"/>
    </row>
    <row r="253" ht="15.75" customHeight="1">
      <c r="K253" s="248" t="n"/>
      <c r="L253" s="248" t="n"/>
      <c r="M253" s="248" t="n"/>
      <c r="N253" s="248" t="n"/>
      <c r="O253" s="248" t="n"/>
      <c r="P253" s="248" t="n"/>
    </row>
    <row r="254" ht="15.75" customHeight="1">
      <c r="K254" s="248" t="n"/>
      <c r="L254" s="248" t="n"/>
      <c r="M254" s="248" t="n"/>
      <c r="N254" s="248" t="n"/>
      <c r="O254" s="248" t="n"/>
      <c r="P254" s="248" t="n"/>
    </row>
    <row r="255" ht="15.75" customHeight="1">
      <c r="K255" s="248" t="n"/>
      <c r="L255" s="248" t="n"/>
      <c r="M255" s="248" t="n"/>
      <c r="N255" s="248" t="n"/>
      <c r="O255" s="248" t="n"/>
      <c r="P255" s="248" t="n"/>
    </row>
    <row r="256" ht="15.75" customHeight="1">
      <c r="K256" s="248" t="n"/>
      <c r="L256" s="248" t="n"/>
      <c r="M256" s="248" t="n"/>
      <c r="N256" s="248" t="n"/>
      <c r="O256" s="248" t="n"/>
      <c r="P256" s="248" t="n"/>
    </row>
    <row r="257" ht="15.75" customHeight="1">
      <c r="K257" s="248" t="n"/>
      <c r="L257" s="248" t="n"/>
      <c r="M257" s="248" t="n"/>
      <c r="N257" s="248" t="n"/>
      <c r="O257" s="248" t="n"/>
      <c r="P257" s="248" t="n"/>
    </row>
    <row r="258" ht="15.75" customHeight="1">
      <c r="K258" s="248" t="n"/>
      <c r="L258" s="248" t="n"/>
      <c r="M258" s="248" t="n"/>
      <c r="N258" s="248" t="n"/>
      <c r="O258" s="248" t="n"/>
      <c r="P258" s="248" t="n"/>
    </row>
    <row r="259" ht="15.75" customHeight="1">
      <c r="K259" s="248" t="n"/>
      <c r="L259" s="248" t="n"/>
      <c r="M259" s="248" t="n"/>
      <c r="N259" s="248" t="n"/>
      <c r="O259" s="248" t="n"/>
      <c r="P259" s="248" t="n"/>
    </row>
    <row r="260" ht="15.75" customHeight="1">
      <c r="K260" s="248" t="n"/>
      <c r="L260" s="248" t="n"/>
      <c r="M260" s="248" t="n"/>
      <c r="N260" s="248" t="n"/>
      <c r="O260" s="248" t="n"/>
      <c r="P260" s="248" t="n"/>
    </row>
    <row r="261" ht="15.75" customHeight="1">
      <c r="K261" s="248" t="n"/>
      <c r="L261" s="248" t="n"/>
      <c r="M261" s="248" t="n"/>
      <c r="N261" s="248" t="n"/>
      <c r="O261" s="248" t="n"/>
      <c r="P261" s="248" t="n"/>
    </row>
    <row r="262" ht="15.75" customHeight="1">
      <c r="K262" s="248" t="n"/>
      <c r="L262" s="248" t="n"/>
      <c r="M262" s="248" t="n"/>
      <c r="N262" s="248" t="n"/>
      <c r="O262" s="248" t="n"/>
      <c r="P262" s="248" t="n"/>
    </row>
    <row r="263" ht="15.75" customHeight="1">
      <c r="K263" s="248" t="n"/>
      <c r="L263" s="248" t="n"/>
      <c r="M263" s="248" t="n"/>
      <c r="N263" s="248" t="n"/>
      <c r="O263" s="248" t="n"/>
      <c r="P263" s="248" t="n"/>
    </row>
    <row r="264" ht="15.75" customHeight="1">
      <c r="K264" s="248" t="n"/>
      <c r="L264" s="248" t="n"/>
      <c r="M264" s="248" t="n"/>
      <c r="N264" s="248" t="n"/>
      <c r="O264" s="248" t="n"/>
      <c r="P264" s="248" t="n"/>
    </row>
    <row r="265" ht="15.75" customHeight="1">
      <c r="K265" s="248" t="n"/>
      <c r="L265" s="248" t="n"/>
      <c r="M265" s="248" t="n"/>
      <c r="N265" s="248" t="n"/>
      <c r="O265" s="248" t="n"/>
      <c r="P265" s="248" t="n"/>
    </row>
    <row r="266" ht="15.75" customHeight="1">
      <c r="K266" s="248" t="n"/>
      <c r="L266" s="248" t="n"/>
      <c r="M266" s="248" t="n"/>
      <c r="N266" s="248" t="n"/>
      <c r="O266" s="248" t="n"/>
      <c r="P266" s="248" t="n"/>
    </row>
    <row r="267" ht="15.75" customHeight="1">
      <c r="K267" s="248" t="n"/>
      <c r="L267" s="248" t="n"/>
      <c r="M267" s="248" t="n"/>
      <c r="N267" s="248" t="n"/>
      <c r="O267" s="248" t="n"/>
      <c r="P267" s="248" t="n"/>
    </row>
    <row r="268" ht="15.75" customHeight="1">
      <c r="K268" s="248" t="n"/>
      <c r="L268" s="248" t="n"/>
      <c r="M268" s="248" t="n"/>
      <c r="N268" s="248" t="n"/>
      <c r="O268" s="248" t="n"/>
      <c r="P268" s="248" t="n"/>
    </row>
    <row r="269" ht="15.75" customHeight="1">
      <c r="K269" s="248" t="n"/>
      <c r="L269" s="248" t="n"/>
      <c r="M269" s="248" t="n"/>
      <c r="N269" s="248" t="n"/>
      <c r="O269" s="248" t="n"/>
      <c r="P269" s="248" t="n"/>
    </row>
    <row r="270" ht="15.75" customHeight="1">
      <c r="K270" s="248" t="n"/>
      <c r="L270" s="248" t="n"/>
      <c r="M270" s="248" t="n"/>
      <c r="N270" s="248" t="n"/>
      <c r="O270" s="248" t="n"/>
      <c r="P270" s="248" t="n"/>
    </row>
    <row r="271" ht="15.75" customHeight="1">
      <c r="K271" s="248" t="n"/>
      <c r="L271" s="248" t="n"/>
      <c r="M271" s="248" t="n"/>
      <c r="N271" s="248" t="n"/>
      <c r="O271" s="248" t="n"/>
      <c r="P271" s="248" t="n"/>
    </row>
    <row r="272" ht="15.75" customHeight="1">
      <c r="K272" s="248" t="n"/>
      <c r="L272" s="248" t="n"/>
      <c r="M272" s="248" t="n"/>
      <c r="N272" s="248" t="n"/>
      <c r="O272" s="248" t="n"/>
      <c r="P272" s="248" t="n"/>
    </row>
    <row r="273" ht="15.75" customHeight="1">
      <c r="K273" s="248" t="n"/>
      <c r="L273" s="248" t="n"/>
      <c r="M273" s="248" t="n"/>
      <c r="N273" s="248" t="n"/>
      <c r="O273" s="248" t="n"/>
      <c r="P273" s="248" t="n"/>
    </row>
    <row r="274" ht="15.75" customHeight="1">
      <c r="K274" s="248" t="n"/>
      <c r="L274" s="248" t="n"/>
      <c r="M274" s="248" t="n"/>
      <c r="N274" s="248" t="n"/>
      <c r="O274" s="248" t="n"/>
      <c r="P274" s="248" t="n"/>
    </row>
    <row r="275" ht="15.75" customHeight="1">
      <c r="K275" s="248" t="n"/>
      <c r="L275" s="248" t="n"/>
      <c r="M275" s="248" t="n"/>
      <c r="N275" s="248" t="n"/>
      <c r="O275" s="248" t="n"/>
      <c r="P275" s="248" t="n"/>
    </row>
    <row r="276" ht="15.75" customHeight="1">
      <c r="K276" s="248" t="n"/>
      <c r="L276" s="248" t="n"/>
      <c r="M276" s="248" t="n"/>
      <c r="N276" s="248" t="n"/>
      <c r="O276" s="248" t="n"/>
      <c r="P276" s="248" t="n"/>
    </row>
    <row r="277" ht="15.75" customHeight="1">
      <c r="K277" s="248" t="n"/>
      <c r="L277" s="248" t="n"/>
      <c r="M277" s="248" t="n"/>
      <c r="N277" s="248" t="n"/>
      <c r="O277" s="248" t="n"/>
      <c r="P277" s="248" t="n"/>
    </row>
    <row r="278" ht="15.75" customHeight="1">
      <c r="K278" s="248" t="n"/>
      <c r="L278" s="248" t="n"/>
      <c r="M278" s="248" t="n"/>
      <c r="N278" s="248" t="n"/>
      <c r="O278" s="248" t="n"/>
      <c r="P278" s="248" t="n"/>
    </row>
    <row r="279" ht="15.75" customHeight="1">
      <c r="K279" s="248" t="n"/>
      <c r="L279" s="248" t="n"/>
      <c r="M279" s="248" t="n"/>
      <c r="N279" s="248" t="n"/>
      <c r="O279" s="248" t="n"/>
      <c r="P279" s="248" t="n"/>
    </row>
    <row r="280" ht="15.75" customHeight="1">
      <c r="K280" s="248" t="n"/>
      <c r="L280" s="248" t="n"/>
      <c r="M280" s="248" t="n"/>
      <c r="N280" s="248" t="n"/>
      <c r="O280" s="248" t="n"/>
      <c r="P280" s="248" t="n"/>
    </row>
    <row r="281" ht="15.75" customHeight="1">
      <c r="K281" s="248" t="n"/>
      <c r="L281" s="248" t="n"/>
      <c r="M281" s="248" t="n"/>
      <c r="N281" s="248" t="n"/>
      <c r="O281" s="248" t="n"/>
      <c r="P281" s="248" t="n"/>
    </row>
    <row r="282" ht="15.75" customHeight="1">
      <c r="K282" s="248" t="n"/>
      <c r="L282" s="248" t="n"/>
      <c r="M282" s="248" t="n"/>
      <c r="N282" s="248" t="n"/>
      <c r="O282" s="248" t="n"/>
      <c r="P282" s="248" t="n"/>
    </row>
    <row r="283" ht="15.75" customHeight="1">
      <c r="K283" s="248" t="n"/>
      <c r="L283" s="248" t="n"/>
      <c r="M283" s="248" t="n"/>
      <c r="N283" s="248" t="n"/>
      <c r="O283" s="248" t="n"/>
      <c r="P283" s="248" t="n"/>
    </row>
    <row r="284" ht="15.75" customHeight="1">
      <c r="K284" s="248" t="n"/>
      <c r="L284" s="248" t="n"/>
      <c r="M284" s="248" t="n"/>
      <c r="N284" s="248" t="n"/>
      <c r="O284" s="248" t="n"/>
      <c r="P284" s="248" t="n"/>
    </row>
    <row r="285" ht="15.75" customHeight="1">
      <c r="K285" s="248" t="n"/>
      <c r="L285" s="248" t="n"/>
      <c r="M285" s="248" t="n"/>
      <c r="N285" s="248" t="n"/>
      <c r="O285" s="248" t="n"/>
      <c r="P285" s="248" t="n"/>
    </row>
    <row r="286" ht="15.75" customHeight="1">
      <c r="K286" s="248" t="n"/>
      <c r="L286" s="248" t="n"/>
      <c r="M286" s="248" t="n"/>
      <c r="N286" s="248" t="n"/>
      <c r="O286" s="248" t="n"/>
      <c r="P286" s="248" t="n"/>
    </row>
    <row r="287" ht="15.75" customHeight="1">
      <c r="K287" s="248" t="n"/>
      <c r="L287" s="248" t="n"/>
      <c r="M287" s="248" t="n"/>
      <c r="N287" s="248" t="n"/>
      <c r="O287" s="248" t="n"/>
      <c r="P287" s="248" t="n"/>
    </row>
    <row r="288" ht="15.75" customHeight="1">
      <c r="K288" s="248" t="n"/>
      <c r="L288" s="248" t="n"/>
      <c r="M288" s="248" t="n"/>
      <c r="N288" s="248" t="n"/>
      <c r="O288" s="248" t="n"/>
      <c r="P288" s="248" t="n"/>
    </row>
    <row r="289" ht="15.75" customHeight="1">
      <c r="K289" s="248" t="n"/>
      <c r="L289" s="248" t="n"/>
      <c r="M289" s="248" t="n"/>
      <c r="N289" s="248" t="n"/>
      <c r="O289" s="248" t="n"/>
      <c r="P289" s="248" t="n"/>
    </row>
    <row r="290" ht="15.75" customHeight="1">
      <c r="K290" s="248" t="n"/>
      <c r="L290" s="248" t="n"/>
      <c r="M290" s="248" t="n"/>
      <c r="N290" s="248" t="n"/>
      <c r="O290" s="248" t="n"/>
      <c r="P290" s="248" t="n"/>
    </row>
    <row r="291" ht="15.75" customHeight="1">
      <c r="K291" s="248" t="n"/>
      <c r="L291" s="248" t="n"/>
      <c r="M291" s="248" t="n"/>
      <c r="N291" s="248" t="n"/>
      <c r="O291" s="248" t="n"/>
      <c r="P291" s="248" t="n"/>
    </row>
    <row r="292" ht="15.75" customHeight="1">
      <c r="K292" s="248" t="n"/>
      <c r="L292" s="248" t="n"/>
      <c r="M292" s="248" t="n"/>
      <c r="N292" s="248" t="n"/>
      <c r="O292" s="248" t="n"/>
      <c r="P292" s="248" t="n"/>
    </row>
    <row r="293" ht="15.75" customHeight="1">
      <c r="K293" s="248" t="n"/>
      <c r="L293" s="248" t="n"/>
      <c r="M293" s="248" t="n"/>
      <c r="N293" s="248" t="n"/>
      <c r="O293" s="248" t="n"/>
      <c r="P293" s="248" t="n"/>
    </row>
    <row r="294" ht="15.75" customHeight="1">
      <c r="K294" s="248" t="n"/>
      <c r="L294" s="248" t="n"/>
      <c r="M294" s="248" t="n"/>
      <c r="N294" s="248" t="n"/>
      <c r="O294" s="248" t="n"/>
      <c r="P294" s="248" t="n"/>
    </row>
    <row r="295" ht="15.75" customHeight="1">
      <c r="K295" s="248" t="n"/>
      <c r="L295" s="248" t="n"/>
      <c r="M295" s="248" t="n"/>
      <c r="N295" s="248" t="n"/>
      <c r="O295" s="248" t="n"/>
      <c r="P295" s="248" t="n"/>
    </row>
    <row r="296" ht="15.75" customHeight="1">
      <c r="K296" s="248" t="n"/>
      <c r="L296" s="248" t="n"/>
      <c r="M296" s="248" t="n"/>
      <c r="N296" s="248" t="n"/>
      <c r="O296" s="248" t="n"/>
      <c r="P296" s="248" t="n"/>
    </row>
    <row r="297" ht="15.75" customHeight="1">
      <c r="K297" s="248" t="n"/>
      <c r="L297" s="248" t="n"/>
      <c r="M297" s="248" t="n"/>
      <c r="N297" s="248" t="n"/>
      <c r="O297" s="248" t="n"/>
      <c r="P297" s="248" t="n"/>
    </row>
    <row r="298" ht="15.75" customHeight="1">
      <c r="K298" s="248" t="n"/>
      <c r="L298" s="248" t="n"/>
      <c r="M298" s="248" t="n"/>
      <c r="N298" s="248" t="n"/>
      <c r="O298" s="248" t="n"/>
      <c r="P298" s="248" t="n"/>
    </row>
    <row r="299" ht="15.75" customHeight="1">
      <c r="K299" s="248" t="n"/>
      <c r="L299" s="248" t="n"/>
      <c r="M299" s="248" t="n"/>
      <c r="N299" s="248" t="n"/>
      <c r="O299" s="248" t="n"/>
      <c r="P299" s="248" t="n"/>
    </row>
    <row r="300" ht="15.75" customHeight="1">
      <c r="K300" s="248" t="n"/>
      <c r="L300" s="248" t="n"/>
      <c r="M300" s="248" t="n"/>
      <c r="N300" s="248" t="n"/>
      <c r="O300" s="248" t="n"/>
      <c r="P300" s="248" t="n"/>
    </row>
    <row r="301" ht="15.75" customHeight="1">
      <c r="K301" s="248" t="n"/>
      <c r="L301" s="248" t="n"/>
      <c r="M301" s="248" t="n"/>
      <c r="N301" s="248" t="n"/>
      <c r="O301" s="248" t="n"/>
      <c r="P301" s="248" t="n"/>
    </row>
    <row r="302" ht="15.75" customHeight="1">
      <c r="K302" s="248" t="n"/>
      <c r="L302" s="248" t="n"/>
      <c r="M302" s="248" t="n"/>
      <c r="N302" s="248" t="n"/>
      <c r="O302" s="248" t="n"/>
      <c r="P302" s="248" t="n"/>
    </row>
    <row r="303" ht="15.75" customHeight="1">
      <c r="K303" s="248" t="n"/>
      <c r="L303" s="248" t="n"/>
      <c r="M303" s="248" t="n"/>
      <c r="N303" s="248" t="n"/>
      <c r="O303" s="248" t="n"/>
      <c r="P303" s="248" t="n"/>
    </row>
    <row r="304" ht="15.75" customHeight="1">
      <c r="K304" s="248" t="n"/>
      <c r="L304" s="248" t="n"/>
      <c r="M304" s="248" t="n"/>
      <c r="N304" s="248" t="n"/>
      <c r="O304" s="248" t="n"/>
      <c r="P304" s="248" t="n"/>
    </row>
    <row r="305" ht="15.75" customHeight="1">
      <c r="K305" s="248" t="n"/>
      <c r="L305" s="248" t="n"/>
      <c r="M305" s="248" t="n"/>
      <c r="N305" s="248" t="n"/>
      <c r="O305" s="248" t="n"/>
      <c r="P305" s="248" t="n"/>
    </row>
    <row r="306" ht="15.75" customHeight="1">
      <c r="K306" s="248" t="n"/>
      <c r="L306" s="248" t="n"/>
      <c r="M306" s="248" t="n"/>
      <c r="N306" s="248" t="n"/>
      <c r="O306" s="248" t="n"/>
      <c r="P306" s="248" t="n"/>
    </row>
    <row r="307" ht="15.75" customHeight="1">
      <c r="K307" s="248" t="n"/>
      <c r="L307" s="248" t="n"/>
      <c r="M307" s="248" t="n"/>
      <c r="N307" s="248" t="n"/>
      <c r="O307" s="248" t="n"/>
      <c r="P307" s="248" t="n"/>
    </row>
    <row r="308" ht="15.75" customHeight="1">
      <c r="K308" s="248" t="n"/>
      <c r="L308" s="248" t="n"/>
      <c r="M308" s="248" t="n"/>
      <c r="N308" s="248" t="n"/>
      <c r="O308" s="248" t="n"/>
      <c r="P308" s="248" t="n"/>
    </row>
    <row r="309" ht="15.75" customHeight="1">
      <c r="K309" s="248" t="n"/>
      <c r="L309" s="248" t="n"/>
      <c r="M309" s="248" t="n"/>
      <c r="N309" s="248" t="n"/>
      <c r="O309" s="248" t="n"/>
      <c r="P309" s="248" t="n"/>
    </row>
    <row r="310" ht="15.75" customHeight="1">
      <c r="K310" s="248" t="n"/>
      <c r="L310" s="248" t="n"/>
      <c r="M310" s="248" t="n"/>
      <c r="N310" s="248" t="n"/>
      <c r="O310" s="248" t="n"/>
      <c r="P310" s="248" t="n"/>
    </row>
    <row r="311" ht="15.75" customHeight="1">
      <c r="K311" s="248" t="n"/>
      <c r="L311" s="248" t="n"/>
      <c r="M311" s="248" t="n"/>
      <c r="N311" s="248" t="n"/>
      <c r="O311" s="248" t="n"/>
      <c r="P311" s="248" t="n"/>
    </row>
    <row r="312" ht="15.75" customHeight="1">
      <c r="K312" s="248" t="n"/>
      <c r="L312" s="248" t="n"/>
      <c r="M312" s="248" t="n"/>
      <c r="N312" s="248" t="n"/>
      <c r="O312" s="248" t="n"/>
      <c r="P312" s="248" t="n"/>
    </row>
    <row r="313" ht="15.75" customHeight="1">
      <c r="K313" s="248" t="n"/>
      <c r="L313" s="248" t="n"/>
      <c r="M313" s="248" t="n"/>
      <c r="N313" s="248" t="n"/>
      <c r="O313" s="248" t="n"/>
      <c r="P313" s="248" t="n"/>
    </row>
    <row r="314" ht="15.75" customHeight="1">
      <c r="K314" s="248" t="n"/>
      <c r="L314" s="248" t="n"/>
      <c r="M314" s="248" t="n"/>
      <c r="N314" s="248" t="n"/>
      <c r="O314" s="248" t="n"/>
      <c r="P314" s="248" t="n"/>
    </row>
    <row r="315" ht="15.75" customHeight="1">
      <c r="K315" s="248" t="n"/>
      <c r="L315" s="248" t="n"/>
      <c r="M315" s="248" t="n"/>
      <c r="N315" s="248" t="n"/>
      <c r="O315" s="248" t="n"/>
      <c r="P315" s="248" t="n"/>
    </row>
    <row r="316" ht="15.75" customHeight="1">
      <c r="K316" s="248" t="n"/>
      <c r="L316" s="248" t="n"/>
      <c r="M316" s="248" t="n"/>
      <c r="N316" s="248" t="n"/>
      <c r="O316" s="248" t="n"/>
      <c r="P316" s="248" t="n"/>
    </row>
    <row r="317" ht="15.75" customHeight="1">
      <c r="K317" s="248" t="n"/>
      <c r="L317" s="248" t="n"/>
      <c r="M317" s="248" t="n"/>
      <c r="N317" s="248" t="n"/>
      <c r="O317" s="248" t="n"/>
      <c r="P317" s="248" t="n"/>
    </row>
    <row r="318" ht="15.75" customHeight="1">
      <c r="K318" s="248" t="n"/>
      <c r="L318" s="248" t="n"/>
      <c r="M318" s="248" t="n"/>
      <c r="N318" s="248" t="n"/>
      <c r="O318" s="248" t="n"/>
      <c r="P318" s="248" t="n"/>
    </row>
    <row r="319" ht="15.75" customHeight="1">
      <c r="K319" s="248" t="n"/>
      <c r="L319" s="248" t="n"/>
      <c r="M319" s="248" t="n"/>
      <c r="N319" s="248" t="n"/>
      <c r="O319" s="248" t="n"/>
      <c r="P319" s="248" t="n"/>
    </row>
    <row r="320" ht="15.75" customHeight="1">
      <c r="K320" s="248" t="n"/>
      <c r="L320" s="248" t="n"/>
      <c r="M320" s="248" t="n"/>
      <c r="N320" s="248" t="n"/>
      <c r="O320" s="248" t="n"/>
      <c r="P320" s="248" t="n"/>
    </row>
    <row r="321" ht="15.75" customHeight="1">
      <c r="K321" s="248" t="n"/>
      <c r="L321" s="248" t="n"/>
      <c r="M321" s="248" t="n"/>
      <c r="N321" s="248" t="n"/>
      <c r="O321" s="248" t="n"/>
      <c r="P321" s="248" t="n"/>
    </row>
    <row r="322" ht="15.75" customHeight="1">
      <c r="K322" s="248" t="n"/>
      <c r="L322" s="248" t="n"/>
      <c r="M322" s="248" t="n"/>
      <c r="N322" s="248" t="n"/>
      <c r="O322" s="248" t="n"/>
      <c r="P322" s="248" t="n"/>
    </row>
    <row r="323" ht="15.75" customHeight="1">
      <c r="K323" s="248" t="n"/>
      <c r="L323" s="248" t="n"/>
      <c r="M323" s="248" t="n"/>
      <c r="N323" s="248" t="n"/>
      <c r="O323" s="248" t="n"/>
      <c r="P323" s="248" t="n"/>
    </row>
    <row r="324" ht="15.75" customHeight="1">
      <c r="K324" s="248" t="n"/>
      <c r="L324" s="248" t="n"/>
      <c r="M324" s="248" t="n"/>
      <c r="N324" s="248" t="n"/>
      <c r="O324" s="248" t="n"/>
      <c r="P324" s="248" t="n"/>
    </row>
    <row r="325" ht="15.75" customHeight="1">
      <c r="K325" s="248" t="n"/>
      <c r="L325" s="248" t="n"/>
      <c r="M325" s="248" t="n"/>
      <c r="N325" s="248" t="n"/>
      <c r="O325" s="248" t="n"/>
      <c r="P325" s="248" t="n"/>
    </row>
    <row r="326" ht="15.75" customHeight="1">
      <c r="K326" s="248" t="n"/>
      <c r="L326" s="248" t="n"/>
      <c r="M326" s="248" t="n"/>
      <c r="N326" s="248" t="n"/>
      <c r="O326" s="248" t="n"/>
      <c r="P326" s="248" t="n"/>
    </row>
    <row r="327" ht="15.75" customHeight="1">
      <c r="K327" s="248" t="n"/>
      <c r="L327" s="248" t="n"/>
      <c r="M327" s="248" t="n"/>
      <c r="N327" s="248" t="n"/>
      <c r="O327" s="248" t="n"/>
      <c r="P327" s="248" t="n"/>
    </row>
    <row r="328" ht="15.75" customHeight="1">
      <c r="K328" s="248" t="n"/>
      <c r="L328" s="248" t="n"/>
      <c r="M328" s="248" t="n"/>
      <c r="N328" s="248" t="n"/>
      <c r="O328" s="248" t="n"/>
      <c r="P328" s="248" t="n"/>
    </row>
    <row r="329" ht="15.75" customHeight="1">
      <c r="K329" s="248" t="n"/>
      <c r="L329" s="248" t="n"/>
      <c r="M329" s="248" t="n"/>
      <c r="N329" s="248" t="n"/>
      <c r="O329" s="248" t="n"/>
      <c r="P329" s="248" t="n"/>
    </row>
    <row r="330" ht="15.75" customHeight="1">
      <c r="K330" s="248" t="n"/>
      <c r="L330" s="248" t="n"/>
      <c r="M330" s="248" t="n"/>
      <c r="N330" s="248" t="n"/>
      <c r="O330" s="248" t="n"/>
      <c r="P330" s="248" t="n"/>
    </row>
    <row r="331" ht="15.75" customHeight="1">
      <c r="K331" s="248" t="n"/>
      <c r="L331" s="248" t="n"/>
      <c r="M331" s="248" t="n"/>
      <c r="N331" s="248" t="n"/>
      <c r="O331" s="248" t="n"/>
      <c r="P331" s="248" t="n"/>
    </row>
    <row r="332" ht="15.75" customHeight="1">
      <c r="K332" s="248" t="n"/>
      <c r="L332" s="248" t="n"/>
      <c r="M332" s="248" t="n"/>
      <c r="N332" s="248" t="n"/>
      <c r="O332" s="248" t="n"/>
      <c r="P332" s="248" t="n"/>
    </row>
    <row r="333" ht="15.75" customHeight="1">
      <c r="K333" s="248" t="n"/>
      <c r="L333" s="248" t="n"/>
      <c r="M333" s="248" t="n"/>
      <c r="N333" s="248" t="n"/>
      <c r="O333" s="248" t="n"/>
      <c r="P333" s="248" t="n"/>
    </row>
    <row r="334" ht="15.75" customHeight="1">
      <c r="K334" s="248" t="n"/>
      <c r="L334" s="248" t="n"/>
      <c r="M334" s="248" t="n"/>
      <c r="N334" s="248" t="n"/>
      <c r="O334" s="248" t="n"/>
      <c r="P334" s="248" t="n"/>
    </row>
    <row r="335" ht="15.75" customHeight="1">
      <c r="K335" s="248" t="n"/>
      <c r="L335" s="248" t="n"/>
      <c r="M335" s="248" t="n"/>
      <c r="N335" s="248" t="n"/>
      <c r="O335" s="248" t="n"/>
      <c r="P335" s="248" t="n"/>
    </row>
    <row r="336" ht="15.75" customHeight="1">
      <c r="K336" s="248" t="n"/>
      <c r="L336" s="248" t="n"/>
      <c r="M336" s="248" t="n"/>
      <c r="N336" s="248" t="n"/>
      <c r="O336" s="248" t="n"/>
      <c r="P336" s="248" t="n"/>
    </row>
    <row r="337" ht="15.75" customHeight="1">
      <c r="K337" s="248" t="n"/>
      <c r="L337" s="248" t="n"/>
      <c r="M337" s="248" t="n"/>
      <c r="N337" s="248" t="n"/>
      <c r="O337" s="248" t="n"/>
      <c r="P337" s="248" t="n"/>
    </row>
    <row r="338" ht="15.75" customHeight="1">
      <c r="K338" s="248" t="n"/>
      <c r="L338" s="248" t="n"/>
      <c r="M338" s="248" t="n"/>
      <c r="N338" s="248" t="n"/>
      <c r="O338" s="248" t="n"/>
      <c r="P338" s="248" t="n"/>
    </row>
    <row r="339" ht="15.75" customHeight="1">
      <c r="K339" s="248" t="n"/>
      <c r="L339" s="248" t="n"/>
      <c r="M339" s="248" t="n"/>
      <c r="N339" s="248" t="n"/>
      <c r="O339" s="248" t="n"/>
      <c r="P339" s="248" t="n"/>
    </row>
    <row r="340" ht="15.75" customHeight="1">
      <c r="K340" s="248" t="n"/>
      <c r="L340" s="248" t="n"/>
      <c r="M340" s="248" t="n"/>
      <c r="N340" s="248" t="n"/>
      <c r="O340" s="248" t="n"/>
      <c r="P340" s="248" t="n"/>
    </row>
    <row r="341" ht="15.75" customHeight="1">
      <c r="K341" s="248" t="n"/>
      <c r="L341" s="248" t="n"/>
      <c r="M341" s="248" t="n"/>
      <c r="N341" s="248" t="n"/>
      <c r="O341" s="248" t="n"/>
      <c r="P341" s="248" t="n"/>
    </row>
    <row r="342" ht="15.75" customHeight="1">
      <c r="K342" s="248" t="n"/>
      <c r="L342" s="248" t="n"/>
      <c r="M342" s="248" t="n"/>
      <c r="N342" s="248" t="n"/>
      <c r="O342" s="248" t="n"/>
      <c r="P342" s="248" t="n"/>
    </row>
    <row r="343" ht="15.75" customHeight="1">
      <c r="K343" s="248" t="n"/>
      <c r="L343" s="248" t="n"/>
      <c r="M343" s="248" t="n"/>
      <c r="N343" s="248" t="n"/>
      <c r="O343" s="248" t="n"/>
      <c r="P343" s="248" t="n"/>
    </row>
    <row r="344" ht="15.75" customHeight="1">
      <c r="K344" s="248" t="n"/>
      <c r="L344" s="248" t="n"/>
      <c r="M344" s="248" t="n"/>
      <c r="N344" s="248" t="n"/>
      <c r="O344" s="248" t="n"/>
      <c r="P344" s="248" t="n"/>
    </row>
    <row r="345" ht="15.75" customHeight="1">
      <c r="K345" s="248" t="n"/>
      <c r="L345" s="248" t="n"/>
      <c r="M345" s="248" t="n"/>
      <c r="N345" s="248" t="n"/>
      <c r="O345" s="248" t="n"/>
      <c r="P345" s="248" t="n"/>
    </row>
    <row r="346" ht="15.75" customHeight="1">
      <c r="K346" s="248" t="n"/>
      <c r="L346" s="248" t="n"/>
      <c r="M346" s="248" t="n"/>
      <c r="N346" s="248" t="n"/>
      <c r="O346" s="248" t="n"/>
      <c r="P346" s="248" t="n"/>
    </row>
    <row r="347" ht="15.75" customHeight="1">
      <c r="K347" s="248" t="n"/>
      <c r="L347" s="248" t="n"/>
      <c r="M347" s="248" t="n"/>
      <c r="N347" s="248" t="n"/>
      <c r="O347" s="248" t="n"/>
      <c r="P347" s="248" t="n"/>
    </row>
    <row r="348" ht="15.75" customHeight="1">
      <c r="K348" s="248" t="n"/>
      <c r="L348" s="248" t="n"/>
      <c r="M348" s="248" t="n"/>
      <c r="N348" s="248" t="n"/>
      <c r="O348" s="248" t="n"/>
      <c r="P348" s="248" t="n"/>
    </row>
    <row r="349" ht="15.75" customHeight="1">
      <c r="K349" s="248" t="n"/>
      <c r="L349" s="248" t="n"/>
      <c r="M349" s="248" t="n"/>
      <c r="N349" s="248" t="n"/>
      <c r="O349" s="248" t="n"/>
      <c r="P349" s="248" t="n"/>
    </row>
    <row r="350" ht="15.75" customHeight="1">
      <c r="K350" s="248" t="n"/>
      <c r="L350" s="248" t="n"/>
      <c r="M350" s="248" t="n"/>
      <c r="N350" s="248" t="n"/>
      <c r="O350" s="248" t="n"/>
      <c r="P350" s="248" t="n"/>
    </row>
    <row r="351" ht="15.75" customHeight="1">
      <c r="K351" s="248" t="n"/>
      <c r="L351" s="248" t="n"/>
      <c r="M351" s="248" t="n"/>
      <c r="N351" s="248" t="n"/>
      <c r="O351" s="248" t="n"/>
      <c r="P351" s="248" t="n"/>
    </row>
    <row r="352" ht="15.75" customHeight="1">
      <c r="K352" s="248" t="n"/>
      <c r="L352" s="248" t="n"/>
      <c r="M352" s="248" t="n"/>
      <c r="N352" s="248" t="n"/>
      <c r="O352" s="248" t="n"/>
      <c r="P352" s="248" t="n"/>
    </row>
    <row r="353" ht="15.75" customHeight="1">
      <c r="K353" s="248" t="n"/>
      <c r="L353" s="248" t="n"/>
      <c r="M353" s="248" t="n"/>
      <c r="N353" s="248" t="n"/>
      <c r="O353" s="248" t="n"/>
      <c r="P353" s="248" t="n"/>
    </row>
    <row r="354" ht="15.75" customHeight="1">
      <c r="K354" s="248" t="n"/>
      <c r="L354" s="248" t="n"/>
      <c r="M354" s="248" t="n"/>
      <c r="N354" s="248" t="n"/>
      <c r="O354" s="248" t="n"/>
      <c r="P354" s="248" t="n"/>
    </row>
    <row r="355" ht="15.75" customHeight="1">
      <c r="K355" s="248" t="n"/>
      <c r="L355" s="248" t="n"/>
      <c r="M355" s="248" t="n"/>
      <c r="N355" s="248" t="n"/>
      <c r="O355" s="248" t="n"/>
      <c r="P355" s="248" t="n"/>
    </row>
    <row r="356" ht="15.75" customHeight="1">
      <c r="K356" s="248" t="n"/>
      <c r="L356" s="248" t="n"/>
      <c r="M356" s="248" t="n"/>
      <c r="N356" s="248" t="n"/>
      <c r="O356" s="248" t="n"/>
      <c r="P356" s="248" t="n"/>
    </row>
    <row r="357" ht="15.75" customHeight="1">
      <c r="K357" s="248" t="n"/>
      <c r="L357" s="248" t="n"/>
      <c r="M357" s="248" t="n"/>
      <c r="N357" s="248" t="n"/>
      <c r="O357" s="248" t="n"/>
      <c r="P357" s="248" t="n"/>
    </row>
    <row r="358" ht="15.75" customHeight="1">
      <c r="K358" s="248" t="n"/>
      <c r="L358" s="248" t="n"/>
      <c r="M358" s="248" t="n"/>
      <c r="N358" s="248" t="n"/>
      <c r="O358" s="248" t="n"/>
      <c r="P358" s="248" t="n"/>
    </row>
    <row r="359" ht="15.75" customHeight="1">
      <c r="K359" s="248" t="n"/>
      <c r="L359" s="248" t="n"/>
      <c r="M359" s="248" t="n"/>
      <c r="N359" s="248" t="n"/>
      <c r="O359" s="248" t="n"/>
      <c r="P359" s="248" t="n"/>
    </row>
    <row r="360" ht="15.75" customHeight="1">
      <c r="K360" s="248" t="n"/>
      <c r="L360" s="248" t="n"/>
      <c r="M360" s="248" t="n"/>
      <c r="N360" s="248" t="n"/>
      <c r="O360" s="248" t="n"/>
      <c r="P360" s="248" t="n"/>
    </row>
    <row r="361" ht="15.75" customHeight="1">
      <c r="K361" s="248" t="n"/>
      <c r="L361" s="248" t="n"/>
      <c r="M361" s="248" t="n"/>
      <c r="N361" s="248" t="n"/>
      <c r="O361" s="248" t="n"/>
      <c r="P361" s="248" t="n"/>
    </row>
    <row r="362" ht="15.75" customHeight="1">
      <c r="K362" s="248" t="n"/>
      <c r="L362" s="248" t="n"/>
      <c r="M362" s="248" t="n"/>
      <c r="N362" s="248" t="n"/>
      <c r="O362" s="248" t="n"/>
      <c r="P362" s="248" t="n"/>
    </row>
    <row r="363" ht="15.75" customHeight="1">
      <c r="K363" s="248" t="n"/>
      <c r="L363" s="248" t="n"/>
      <c r="M363" s="248" t="n"/>
      <c r="N363" s="248" t="n"/>
      <c r="O363" s="248" t="n"/>
      <c r="P363" s="248" t="n"/>
    </row>
    <row r="364" ht="15.75" customHeight="1">
      <c r="K364" s="248" t="n"/>
      <c r="L364" s="248" t="n"/>
      <c r="M364" s="248" t="n"/>
      <c r="N364" s="248" t="n"/>
      <c r="O364" s="248" t="n"/>
      <c r="P364" s="248" t="n"/>
    </row>
    <row r="365" ht="15.75" customHeight="1">
      <c r="K365" s="248" t="n"/>
      <c r="L365" s="248" t="n"/>
      <c r="M365" s="248" t="n"/>
      <c r="N365" s="248" t="n"/>
      <c r="O365" s="248" t="n"/>
      <c r="P365" s="248" t="n"/>
    </row>
    <row r="366" ht="15.75" customHeight="1">
      <c r="K366" s="248" t="n"/>
      <c r="L366" s="248" t="n"/>
      <c r="M366" s="248" t="n"/>
      <c r="N366" s="248" t="n"/>
      <c r="O366" s="248" t="n"/>
      <c r="P366" s="248" t="n"/>
    </row>
    <row r="367" ht="15.75" customHeight="1">
      <c r="K367" s="248" t="n"/>
      <c r="L367" s="248" t="n"/>
      <c r="M367" s="248" t="n"/>
      <c r="N367" s="248" t="n"/>
      <c r="O367" s="248" t="n"/>
      <c r="P367" s="248" t="n"/>
    </row>
    <row r="368" ht="15.75" customHeight="1">
      <c r="K368" s="248" t="n"/>
      <c r="L368" s="248" t="n"/>
      <c r="M368" s="248" t="n"/>
      <c r="N368" s="248" t="n"/>
      <c r="O368" s="248" t="n"/>
      <c r="P368" s="248" t="n"/>
    </row>
    <row r="369" ht="15.75" customHeight="1">
      <c r="K369" s="248" t="n"/>
      <c r="L369" s="248" t="n"/>
      <c r="M369" s="248" t="n"/>
      <c r="N369" s="248" t="n"/>
      <c r="O369" s="248" t="n"/>
      <c r="P369" s="248" t="n"/>
    </row>
    <row r="370" ht="15.75" customHeight="1">
      <c r="K370" s="248" t="n"/>
      <c r="L370" s="248" t="n"/>
      <c r="M370" s="248" t="n"/>
      <c r="N370" s="248" t="n"/>
      <c r="O370" s="248" t="n"/>
      <c r="P370" s="248" t="n"/>
    </row>
    <row r="371" ht="15.75" customHeight="1">
      <c r="K371" s="248" t="n"/>
      <c r="L371" s="248" t="n"/>
      <c r="M371" s="248" t="n"/>
      <c r="N371" s="248" t="n"/>
      <c r="O371" s="248" t="n"/>
      <c r="P371" s="248" t="n"/>
    </row>
    <row r="372" ht="15.75" customHeight="1">
      <c r="K372" s="248" t="n"/>
      <c r="L372" s="248" t="n"/>
      <c r="M372" s="248" t="n"/>
      <c r="N372" s="248" t="n"/>
      <c r="O372" s="248" t="n"/>
      <c r="P372" s="248" t="n"/>
    </row>
    <row r="373" ht="15.75" customHeight="1">
      <c r="K373" s="248" t="n"/>
      <c r="L373" s="248" t="n"/>
      <c r="M373" s="248" t="n"/>
      <c r="N373" s="248" t="n"/>
      <c r="O373" s="248" t="n"/>
      <c r="P373" s="248" t="n"/>
    </row>
    <row r="374" ht="15.75" customHeight="1">
      <c r="K374" s="248" t="n"/>
      <c r="L374" s="248" t="n"/>
      <c r="M374" s="248" t="n"/>
      <c r="N374" s="248" t="n"/>
      <c r="O374" s="248" t="n"/>
      <c r="P374" s="248" t="n"/>
    </row>
    <row r="375" ht="15.75" customHeight="1">
      <c r="K375" s="248" t="n"/>
      <c r="L375" s="248" t="n"/>
      <c r="M375" s="248" t="n"/>
      <c r="N375" s="248" t="n"/>
      <c r="O375" s="248" t="n"/>
      <c r="P375" s="248" t="n"/>
    </row>
    <row r="376" ht="15.75" customHeight="1">
      <c r="K376" s="248" t="n"/>
      <c r="L376" s="248" t="n"/>
      <c r="M376" s="248" t="n"/>
      <c r="N376" s="248" t="n"/>
      <c r="O376" s="248" t="n"/>
      <c r="P376" s="248" t="n"/>
    </row>
    <row r="377" ht="15.75" customHeight="1">
      <c r="K377" s="248" t="n"/>
      <c r="L377" s="248" t="n"/>
      <c r="M377" s="248" t="n"/>
      <c r="N377" s="248" t="n"/>
      <c r="O377" s="248" t="n"/>
      <c r="P377" s="248" t="n"/>
    </row>
    <row r="378" ht="15.75" customHeight="1">
      <c r="K378" s="248" t="n"/>
      <c r="L378" s="248" t="n"/>
      <c r="M378" s="248" t="n"/>
      <c r="N378" s="248" t="n"/>
      <c r="O378" s="248" t="n"/>
      <c r="P378" s="248" t="n"/>
    </row>
    <row r="379" ht="15.75" customHeight="1">
      <c r="K379" s="248" t="n"/>
      <c r="L379" s="248" t="n"/>
      <c r="M379" s="248" t="n"/>
      <c r="N379" s="248" t="n"/>
      <c r="O379" s="248" t="n"/>
      <c r="P379" s="248" t="n"/>
    </row>
    <row r="380" ht="15.75" customHeight="1">
      <c r="K380" s="248" t="n"/>
      <c r="L380" s="248" t="n"/>
      <c r="M380" s="248" t="n"/>
      <c r="N380" s="248" t="n"/>
      <c r="O380" s="248" t="n"/>
      <c r="P380" s="248" t="n"/>
    </row>
    <row r="381" ht="15.75" customHeight="1">
      <c r="K381" s="248" t="n"/>
      <c r="L381" s="248" t="n"/>
      <c r="M381" s="248" t="n"/>
      <c r="N381" s="248" t="n"/>
      <c r="O381" s="248" t="n"/>
      <c r="P381" s="248" t="n"/>
    </row>
    <row r="382" ht="15.75" customHeight="1">
      <c r="K382" s="248" t="n"/>
      <c r="L382" s="248" t="n"/>
      <c r="M382" s="248" t="n"/>
      <c r="N382" s="248" t="n"/>
      <c r="O382" s="248" t="n"/>
      <c r="P382" s="248" t="n"/>
    </row>
    <row r="383" ht="15.75" customHeight="1">
      <c r="K383" s="248" t="n"/>
      <c r="L383" s="248" t="n"/>
      <c r="M383" s="248" t="n"/>
      <c r="N383" s="248" t="n"/>
      <c r="O383" s="248" t="n"/>
      <c r="P383" s="248" t="n"/>
    </row>
    <row r="384" ht="15.75" customHeight="1">
      <c r="K384" s="248" t="n"/>
      <c r="L384" s="248" t="n"/>
      <c r="M384" s="248" t="n"/>
      <c r="N384" s="248" t="n"/>
      <c r="O384" s="248" t="n"/>
      <c r="P384" s="248" t="n"/>
    </row>
    <row r="385" ht="15.75" customHeight="1">
      <c r="K385" s="248" t="n"/>
      <c r="L385" s="248" t="n"/>
      <c r="M385" s="248" t="n"/>
      <c r="N385" s="248" t="n"/>
      <c r="O385" s="248" t="n"/>
      <c r="P385" s="248" t="n"/>
    </row>
    <row r="386" ht="15.75" customHeight="1">
      <c r="K386" s="248" t="n"/>
      <c r="L386" s="248" t="n"/>
      <c r="M386" s="248" t="n"/>
      <c r="N386" s="248" t="n"/>
      <c r="O386" s="248" t="n"/>
      <c r="P386" s="248" t="n"/>
    </row>
    <row r="387" ht="15.75" customHeight="1">
      <c r="K387" s="248" t="n"/>
      <c r="L387" s="248" t="n"/>
      <c r="M387" s="248" t="n"/>
      <c r="N387" s="248" t="n"/>
      <c r="O387" s="248" t="n"/>
      <c r="P387" s="248" t="n"/>
    </row>
    <row r="388" ht="15.75" customHeight="1">
      <c r="K388" s="248" t="n"/>
      <c r="L388" s="248" t="n"/>
      <c r="M388" s="248" t="n"/>
      <c r="N388" s="248" t="n"/>
      <c r="O388" s="248" t="n"/>
      <c r="P388" s="248" t="n"/>
    </row>
    <row r="389" ht="15.75" customHeight="1">
      <c r="K389" s="248" t="n"/>
      <c r="L389" s="248" t="n"/>
      <c r="M389" s="248" t="n"/>
      <c r="N389" s="248" t="n"/>
      <c r="O389" s="248" t="n"/>
      <c r="P389" s="248" t="n"/>
    </row>
    <row r="390" ht="15.75" customHeight="1">
      <c r="K390" s="248" t="n"/>
      <c r="L390" s="248" t="n"/>
      <c r="M390" s="248" t="n"/>
      <c r="N390" s="248" t="n"/>
      <c r="O390" s="248" t="n"/>
      <c r="P390" s="248" t="n"/>
    </row>
    <row r="391" ht="15.75" customHeight="1">
      <c r="K391" s="248" t="n"/>
      <c r="L391" s="248" t="n"/>
      <c r="M391" s="248" t="n"/>
      <c r="N391" s="248" t="n"/>
      <c r="O391" s="248" t="n"/>
      <c r="P391" s="248" t="n"/>
    </row>
    <row r="392" ht="15.75" customHeight="1">
      <c r="K392" s="248" t="n"/>
      <c r="L392" s="248" t="n"/>
      <c r="M392" s="248" t="n"/>
      <c r="N392" s="248" t="n"/>
      <c r="O392" s="248" t="n"/>
      <c r="P392" s="248" t="n"/>
    </row>
    <row r="393" ht="15.75" customHeight="1">
      <c r="K393" s="248" t="n"/>
      <c r="L393" s="248" t="n"/>
      <c r="M393" s="248" t="n"/>
      <c r="N393" s="248" t="n"/>
      <c r="O393" s="248" t="n"/>
      <c r="P393" s="248" t="n"/>
    </row>
    <row r="394" ht="15.75" customHeight="1">
      <c r="K394" s="248" t="n"/>
      <c r="L394" s="248" t="n"/>
      <c r="M394" s="248" t="n"/>
      <c r="N394" s="248" t="n"/>
      <c r="O394" s="248" t="n"/>
      <c r="P394" s="248" t="n"/>
    </row>
    <row r="395" ht="15.75" customHeight="1">
      <c r="K395" s="248" t="n"/>
      <c r="L395" s="248" t="n"/>
      <c r="M395" s="248" t="n"/>
      <c r="N395" s="248" t="n"/>
      <c r="O395" s="248" t="n"/>
      <c r="P395" s="248" t="n"/>
    </row>
    <row r="396" ht="15.75" customHeight="1">
      <c r="K396" s="248" t="n"/>
      <c r="L396" s="248" t="n"/>
      <c r="M396" s="248" t="n"/>
      <c r="N396" s="248" t="n"/>
      <c r="O396" s="248" t="n"/>
      <c r="P396" s="248" t="n"/>
    </row>
    <row r="397" ht="15.75" customHeight="1">
      <c r="K397" s="248" t="n"/>
      <c r="L397" s="248" t="n"/>
      <c r="M397" s="248" t="n"/>
      <c r="N397" s="248" t="n"/>
      <c r="O397" s="248" t="n"/>
      <c r="P397" s="248" t="n"/>
    </row>
    <row r="398" ht="15.75" customHeight="1">
      <c r="K398" s="248" t="n"/>
      <c r="L398" s="248" t="n"/>
      <c r="M398" s="248" t="n"/>
      <c r="N398" s="248" t="n"/>
      <c r="O398" s="248" t="n"/>
      <c r="P398" s="248" t="n"/>
    </row>
    <row r="399" ht="15.75" customHeight="1">
      <c r="K399" s="248" t="n"/>
      <c r="L399" s="248" t="n"/>
      <c r="M399" s="248" t="n"/>
      <c r="N399" s="248" t="n"/>
      <c r="O399" s="248" t="n"/>
      <c r="P399" s="248" t="n"/>
    </row>
    <row r="400" ht="15.75" customHeight="1">
      <c r="K400" s="248" t="n"/>
      <c r="L400" s="248" t="n"/>
      <c r="M400" s="248" t="n"/>
      <c r="N400" s="248" t="n"/>
      <c r="O400" s="248" t="n"/>
      <c r="P400" s="248" t="n"/>
    </row>
    <row r="401" ht="15.75" customHeight="1">
      <c r="K401" s="248" t="n"/>
      <c r="L401" s="248" t="n"/>
      <c r="M401" s="248" t="n"/>
      <c r="N401" s="248" t="n"/>
      <c r="O401" s="248" t="n"/>
      <c r="P401" s="248" t="n"/>
    </row>
    <row r="402" ht="15.75" customHeight="1">
      <c r="K402" s="248" t="n"/>
      <c r="L402" s="248" t="n"/>
      <c r="M402" s="248" t="n"/>
      <c r="N402" s="248" t="n"/>
      <c r="O402" s="248" t="n"/>
      <c r="P402" s="248" t="n"/>
    </row>
    <row r="403" ht="15.75" customHeight="1">
      <c r="K403" s="248" t="n"/>
      <c r="L403" s="248" t="n"/>
      <c r="M403" s="248" t="n"/>
      <c r="N403" s="248" t="n"/>
      <c r="O403" s="248" t="n"/>
      <c r="P403" s="248" t="n"/>
    </row>
    <row r="404" ht="15.75" customHeight="1">
      <c r="K404" s="248" t="n"/>
      <c r="L404" s="248" t="n"/>
      <c r="M404" s="248" t="n"/>
      <c r="N404" s="248" t="n"/>
      <c r="O404" s="248" t="n"/>
      <c r="P404" s="248" t="n"/>
    </row>
    <row r="405" ht="15.75" customHeight="1">
      <c r="K405" s="248" t="n"/>
      <c r="L405" s="248" t="n"/>
      <c r="M405" s="248" t="n"/>
      <c r="N405" s="248" t="n"/>
      <c r="O405" s="248" t="n"/>
      <c r="P405" s="248" t="n"/>
    </row>
    <row r="406" ht="15.75" customHeight="1">
      <c r="K406" s="248" t="n"/>
      <c r="L406" s="248" t="n"/>
      <c r="M406" s="248" t="n"/>
      <c r="N406" s="248" t="n"/>
      <c r="O406" s="248" t="n"/>
      <c r="P406" s="248" t="n"/>
    </row>
    <row r="407" ht="15.75" customHeight="1">
      <c r="K407" s="248" t="n"/>
      <c r="L407" s="248" t="n"/>
      <c r="M407" s="248" t="n"/>
      <c r="N407" s="248" t="n"/>
      <c r="O407" s="248" t="n"/>
      <c r="P407" s="248" t="n"/>
    </row>
    <row r="408" ht="15.75" customHeight="1">
      <c r="K408" s="248" t="n"/>
      <c r="L408" s="248" t="n"/>
      <c r="M408" s="248" t="n"/>
      <c r="N408" s="248" t="n"/>
      <c r="O408" s="248" t="n"/>
      <c r="P408" s="248" t="n"/>
    </row>
    <row r="409" ht="15.75" customHeight="1">
      <c r="K409" s="248" t="n"/>
      <c r="L409" s="248" t="n"/>
      <c r="M409" s="248" t="n"/>
      <c r="N409" s="248" t="n"/>
      <c r="O409" s="248" t="n"/>
      <c r="P409" s="248" t="n"/>
    </row>
    <row r="410" ht="15.75" customHeight="1">
      <c r="K410" s="248" t="n"/>
      <c r="L410" s="248" t="n"/>
      <c r="M410" s="248" t="n"/>
      <c r="N410" s="248" t="n"/>
      <c r="O410" s="248" t="n"/>
      <c r="P410" s="248" t="n"/>
    </row>
    <row r="411" ht="15.75" customHeight="1">
      <c r="K411" s="248" t="n"/>
      <c r="L411" s="248" t="n"/>
      <c r="M411" s="248" t="n"/>
      <c r="N411" s="248" t="n"/>
      <c r="O411" s="248" t="n"/>
      <c r="P411" s="248" t="n"/>
    </row>
    <row r="412" ht="15.75" customHeight="1">
      <c r="K412" s="248" t="n"/>
      <c r="L412" s="248" t="n"/>
      <c r="M412" s="248" t="n"/>
      <c r="N412" s="248" t="n"/>
      <c r="O412" s="248" t="n"/>
      <c r="P412" s="248" t="n"/>
    </row>
    <row r="413" ht="15.75" customHeight="1">
      <c r="K413" s="248" t="n"/>
      <c r="L413" s="248" t="n"/>
      <c r="M413" s="248" t="n"/>
      <c r="N413" s="248" t="n"/>
      <c r="O413" s="248" t="n"/>
      <c r="P413" s="248" t="n"/>
    </row>
    <row r="414" ht="15.75" customHeight="1">
      <c r="K414" s="248" t="n"/>
      <c r="L414" s="248" t="n"/>
      <c r="M414" s="248" t="n"/>
      <c r="N414" s="248" t="n"/>
      <c r="O414" s="248" t="n"/>
      <c r="P414" s="248" t="n"/>
    </row>
    <row r="415" ht="15.75" customHeight="1">
      <c r="K415" s="248" t="n"/>
      <c r="L415" s="248" t="n"/>
      <c r="M415" s="248" t="n"/>
      <c r="N415" s="248" t="n"/>
      <c r="O415" s="248" t="n"/>
      <c r="P415" s="248" t="n"/>
    </row>
    <row r="416" ht="15.75" customHeight="1">
      <c r="K416" s="248" t="n"/>
      <c r="L416" s="248" t="n"/>
      <c r="M416" s="248" t="n"/>
      <c r="N416" s="248" t="n"/>
      <c r="O416" s="248" t="n"/>
      <c r="P416" s="248" t="n"/>
    </row>
    <row r="417" ht="15.75" customHeight="1">
      <c r="K417" s="248" t="n"/>
      <c r="L417" s="248" t="n"/>
      <c r="M417" s="248" t="n"/>
      <c r="N417" s="248" t="n"/>
      <c r="O417" s="248" t="n"/>
      <c r="P417" s="248" t="n"/>
    </row>
    <row r="418" ht="15.75" customHeight="1">
      <c r="K418" s="248" t="n"/>
      <c r="L418" s="248" t="n"/>
      <c r="M418" s="248" t="n"/>
      <c r="N418" s="248" t="n"/>
      <c r="O418" s="248" t="n"/>
      <c r="P418" s="248" t="n"/>
    </row>
    <row r="419" ht="15.75" customHeight="1">
      <c r="K419" s="248" t="n"/>
      <c r="L419" s="248" t="n"/>
      <c r="M419" s="248" t="n"/>
      <c r="N419" s="248" t="n"/>
      <c r="O419" s="248" t="n"/>
      <c r="P419" s="248" t="n"/>
    </row>
    <row r="420" ht="15.75" customHeight="1">
      <c r="K420" s="248" t="n"/>
      <c r="L420" s="248" t="n"/>
      <c r="M420" s="248" t="n"/>
      <c r="N420" s="248" t="n"/>
      <c r="O420" s="248" t="n"/>
      <c r="P420" s="248" t="n"/>
    </row>
    <row r="421" ht="15.75" customHeight="1">
      <c r="K421" s="248" t="n"/>
      <c r="L421" s="248" t="n"/>
      <c r="M421" s="248" t="n"/>
      <c r="N421" s="248" t="n"/>
      <c r="O421" s="248" t="n"/>
      <c r="P421" s="248" t="n"/>
    </row>
    <row r="422" ht="15.75" customHeight="1">
      <c r="K422" s="248" t="n"/>
      <c r="L422" s="248" t="n"/>
      <c r="M422" s="248" t="n"/>
      <c r="N422" s="248" t="n"/>
      <c r="O422" s="248" t="n"/>
      <c r="P422" s="248" t="n"/>
    </row>
    <row r="423" ht="15.75" customHeight="1">
      <c r="K423" s="248" t="n"/>
      <c r="L423" s="248" t="n"/>
      <c r="M423" s="248" t="n"/>
      <c r="N423" s="248" t="n"/>
      <c r="O423" s="248" t="n"/>
      <c r="P423" s="248" t="n"/>
    </row>
    <row r="424" ht="15.75" customHeight="1">
      <c r="K424" s="248" t="n"/>
      <c r="L424" s="248" t="n"/>
      <c r="M424" s="248" t="n"/>
      <c r="N424" s="248" t="n"/>
      <c r="O424" s="248" t="n"/>
      <c r="P424" s="248" t="n"/>
    </row>
    <row r="425" ht="15.75" customHeight="1">
      <c r="K425" s="248" t="n"/>
      <c r="L425" s="248" t="n"/>
      <c r="M425" s="248" t="n"/>
      <c r="N425" s="248" t="n"/>
      <c r="O425" s="248" t="n"/>
      <c r="P425" s="248" t="n"/>
    </row>
    <row r="426" ht="15.75" customHeight="1">
      <c r="K426" s="248" t="n"/>
      <c r="L426" s="248" t="n"/>
      <c r="M426" s="248" t="n"/>
      <c r="N426" s="248" t="n"/>
      <c r="O426" s="248" t="n"/>
      <c r="P426" s="248" t="n"/>
    </row>
    <row r="427" ht="15.75" customHeight="1">
      <c r="K427" s="248" t="n"/>
      <c r="L427" s="248" t="n"/>
      <c r="M427" s="248" t="n"/>
      <c r="N427" s="248" t="n"/>
      <c r="O427" s="248" t="n"/>
      <c r="P427" s="248" t="n"/>
    </row>
    <row r="428" ht="15.75" customHeight="1">
      <c r="K428" s="248" t="n"/>
      <c r="L428" s="248" t="n"/>
      <c r="M428" s="248" t="n"/>
      <c r="N428" s="248" t="n"/>
      <c r="O428" s="248" t="n"/>
      <c r="P428" s="248" t="n"/>
    </row>
    <row r="429" ht="15.75" customHeight="1">
      <c r="K429" s="248" t="n"/>
      <c r="L429" s="248" t="n"/>
      <c r="M429" s="248" t="n"/>
      <c r="N429" s="248" t="n"/>
      <c r="O429" s="248" t="n"/>
      <c r="P429" s="248" t="n"/>
    </row>
    <row r="430" ht="15.75" customHeight="1">
      <c r="K430" s="248" t="n"/>
      <c r="L430" s="248" t="n"/>
      <c r="M430" s="248" t="n"/>
      <c r="N430" s="248" t="n"/>
      <c r="O430" s="248" t="n"/>
      <c r="P430" s="248" t="n"/>
    </row>
    <row r="431" ht="15.75" customHeight="1">
      <c r="K431" s="248" t="n"/>
      <c r="L431" s="248" t="n"/>
      <c r="M431" s="248" t="n"/>
      <c r="N431" s="248" t="n"/>
      <c r="O431" s="248" t="n"/>
      <c r="P431" s="248" t="n"/>
    </row>
    <row r="432" ht="15.75" customHeight="1">
      <c r="K432" s="248" t="n"/>
      <c r="L432" s="248" t="n"/>
      <c r="M432" s="248" t="n"/>
      <c r="N432" s="248" t="n"/>
      <c r="O432" s="248" t="n"/>
      <c r="P432" s="248" t="n"/>
    </row>
    <row r="433" ht="15.75" customHeight="1">
      <c r="K433" s="248" t="n"/>
      <c r="L433" s="248" t="n"/>
      <c r="M433" s="248" t="n"/>
      <c r="N433" s="248" t="n"/>
      <c r="O433" s="248" t="n"/>
      <c r="P433" s="248" t="n"/>
    </row>
    <row r="434" ht="15.75" customHeight="1">
      <c r="K434" s="248" t="n"/>
      <c r="L434" s="248" t="n"/>
      <c r="M434" s="248" t="n"/>
      <c r="N434" s="248" t="n"/>
      <c r="O434" s="248" t="n"/>
      <c r="P434" s="248" t="n"/>
    </row>
    <row r="435" ht="15.75" customHeight="1">
      <c r="K435" s="248" t="n"/>
      <c r="L435" s="248" t="n"/>
      <c r="M435" s="248" t="n"/>
      <c r="N435" s="248" t="n"/>
      <c r="O435" s="248" t="n"/>
      <c r="P435" s="248" t="n"/>
    </row>
    <row r="436" ht="15.75" customHeight="1">
      <c r="K436" s="248" t="n"/>
      <c r="L436" s="248" t="n"/>
      <c r="M436" s="248" t="n"/>
      <c r="N436" s="248" t="n"/>
      <c r="O436" s="248" t="n"/>
      <c r="P436" s="248" t="n"/>
    </row>
    <row r="437" ht="15.75" customHeight="1">
      <c r="K437" s="248" t="n"/>
      <c r="L437" s="248" t="n"/>
      <c r="M437" s="248" t="n"/>
      <c r="N437" s="248" t="n"/>
      <c r="O437" s="248" t="n"/>
      <c r="P437" s="248" t="n"/>
    </row>
    <row r="438" ht="15.75" customHeight="1">
      <c r="K438" s="248" t="n"/>
      <c r="L438" s="248" t="n"/>
      <c r="M438" s="248" t="n"/>
      <c r="N438" s="248" t="n"/>
      <c r="O438" s="248" t="n"/>
      <c r="P438" s="248" t="n"/>
    </row>
    <row r="439" ht="15.75" customHeight="1">
      <c r="K439" s="248" t="n"/>
      <c r="L439" s="248" t="n"/>
      <c r="M439" s="248" t="n"/>
      <c r="N439" s="248" t="n"/>
      <c r="O439" s="248" t="n"/>
      <c r="P439" s="248" t="n"/>
    </row>
    <row r="440" ht="15.75" customHeight="1">
      <c r="K440" s="248" t="n"/>
      <c r="L440" s="248" t="n"/>
      <c r="M440" s="248" t="n"/>
      <c r="N440" s="248" t="n"/>
      <c r="O440" s="248" t="n"/>
      <c r="P440" s="248" t="n"/>
    </row>
    <row r="441" ht="15.75" customHeight="1">
      <c r="K441" s="248" t="n"/>
      <c r="L441" s="248" t="n"/>
      <c r="M441" s="248" t="n"/>
      <c r="N441" s="248" t="n"/>
      <c r="O441" s="248" t="n"/>
      <c r="P441" s="248" t="n"/>
    </row>
    <row r="442" ht="15.75" customHeight="1">
      <c r="K442" s="248" t="n"/>
      <c r="L442" s="248" t="n"/>
      <c r="M442" s="248" t="n"/>
      <c r="N442" s="248" t="n"/>
      <c r="O442" s="248" t="n"/>
      <c r="P442" s="248" t="n"/>
    </row>
    <row r="443" ht="15.75" customHeight="1">
      <c r="K443" s="248" t="n"/>
      <c r="L443" s="248" t="n"/>
      <c r="M443" s="248" t="n"/>
      <c r="N443" s="248" t="n"/>
      <c r="O443" s="248" t="n"/>
      <c r="P443" s="248" t="n"/>
    </row>
    <row r="444" ht="15.75" customHeight="1">
      <c r="K444" s="248" t="n"/>
      <c r="L444" s="248" t="n"/>
      <c r="M444" s="248" t="n"/>
      <c r="N444" s="248" t="n"/>
      <c r="O444" s="248" t="n"/>
      <c r="P444" s="248" t="n"/>
    </row>
    <row r="445" ht="15.75" customHeight="1">
      <c r="K445" s="248" t="n"/>
      <c r="L445" s="248" t="n"/>
      <c r="M445" s="248" t="n"/>
      <c r="N445" s="248" t="n"/>
      <c r="O445" s="248" t="n"/>
      <c r="P445" s="248" t="n"/>
    </row>
    <row r="446" ht="15.75" customHeight="1">
      <c r="K446" s="248" t="n"/>
      <c r="L446" s="248" t="n"/>
      <c r="M446" s="248" t="n"/>
      <c r="N446" s="248" t="n"/>
      <c r="O446" s="248" t="n"/>
      <c r="P446" s="248" t="n"/>
    </row>
    <row r="447" ht="15.75" customHeight="1">
      <c r="K447" s="248" t="n"/>
      <c r="L447" s="248" t="n"/>
      <c r="M447" s="248" t="n"/>
      <c r="N447" s="248" t="n"/>
      <c r="O447" s="248" t="n"/>
      <c r="P447" s="248" t="n"/>
    </row>
    <row r="448" ht="15.75" customHeight="1">
      <c r="K448" s="248" t="n"/>
      <c r="L448" s="248" t="n"/>
      <c r="M448" s="248" t="n"/>
      <c r="N448" s="248" t="n"/>
      <c r="O448" s="248" t="n"/>
      <c r="P448" s="248" t="n"/>
    </row>
    <row r="449" ht="15.75" customHeight="1">
      <c r="K449" s="248" t="n"/>
      <c r="L449" s="248" t="n"/>
      <c r="M449" s="248" t="n"/>
      <c r="N449" s="248" t="n"/>
      <c r="O449" s="248" t="n"/>
      <c r="P449" s="248" t="n"/>
    </row>
    <row r="450" ht="15.75" customHeight="1">
      <c r="K450" s="248" t="n"/>
      <c r="L450" s="248" t="n"/>
      <c r="M450" s="248" t="n"/>
      <c r="N450" s="248" t="n"/>
      <c r="O450" s="248" t="n"/>
      <c r="P450" s="248" t="n"/>
    </row>
    <row r="451" ht="15.75" customHeight="1">
      <c r="K451" s="248" t="n"/>
      <c r="L451" s="248" t="n"/>
      <c r="M451" s="248" t="n"/>
      <c r="N451" s="248" t="n"/>
      <c r="O451" s="248" t="n"/>
      <c r="P451" s="248" t="n"/>
    </row>
    <row r="452" ht="15.75" customHeight="1">
      <c r="K452" s="248" t="n"/>
      <c r="L452" s="248" t="n"/>
      <c r="M452" s="248" t="n"/>
      <c r="N452" s="248" t="n"/>
      <c r="O452" s="248" t="n"/>
      <c r="P452" s="248" t="n"/>
    </row>
    <row r="453" ht="15.75" customHeight="1">
      <c r="K453" s="248" t="n"/>
      <c r="L453" s="248" t="n"/>
      <c r="M453" s="248" t="n"/>
      <c r="N453" s="248" t="n"/>
      <c r="O453" s="248" t="n"/>
      <c r="P453" s="248" t="n"/>
    </row>
    <row r="454" ht="15.75" customHeight="1">
      <c r="K454" s="248" t="n"/>
      <c r="L454" s="248" t="n"/>
      <c r="M454" s="248" t="n"/>
      <c r="N454" s="248" t="n"/>
      <c r="O454" s="248" t="n"/>
      <c r="P454" s="248" t="n"/>
    </row>
    <row r="455" ht="15.75" customHeight="1">
      <c r="K455" s="248" t="n"/>
      <c r="L455" s="248" t="n"/>
      <c r="M455" s="248" t="n"/>
      <c r="N455" s="248" t="n"/>
      <c r="O455" s="248" t="n"/>
      <c r="P455" s="248" t="n"/>
    </row>
    <row r="456" ht="15.75" customHeight="1">
      <c r="K456" s="248" t="n"/>
      <c r="L456" s="248" t="n"/>
      <c r="M456" s="248" t="n"/>
      <c r="N456" s="248" t="n"/>
      <c r="O456" s="248" t="n"/>
      <c r="P456" s="248" t="n"/>
    </row>
    <row r="457" ht="15.75" customHeight="1">
      <c r="K457" s="248" t="n"/>
      <c r="L457" s="248" t="n"/>
      <c r="M457" s="248" t="n"/>
      <c r="N457" s="248" t="n"/>
      <c r="O457" s="248" t="n"/>
      <c r="P457" s="248" t="n"/>
    </row>
    <row r="458" ht="15.75" customHeight="1">
      <c r="K458" s="248" t="n"/>
      <c r="L458" s="248" t="n"/>
      <c r="M458" s="248" t="n"/>
      <c r="N458" s="248" t="n"/>
      <c r="O458" s="248" t="n"/>
      <c r="P458" s="248" t="n"/>
    </row>
    <row r="459" ht="15.75" customHeight="1">
      <c r="K459" s="248" t="n"/>
      <c r="L459" s="248" t="n"/>
      <c r="M459" s="248" t="n"/>
      <c r="N459" s="248" t="n"/>
      <c r="O459" s="248" t="n"/>
      <c r="P459" s="248" t="n"/>
    </row>
    <row r="460" ht="15.75" customHeight="1">
      <c r="K460" s="248" t="n"/>
      <c r="L460" s="248" t="n"/>
      <c r="M460" s="248" t="n"/>
      <c r="N460" s="248" t="n"/>
      <c r="O460" s="248" t="n"/>
      <c r="P460" s="248" t="n"/>
    </row>
    <row r="461" ht="15.75" customHeight="1">
      <c r="K461" s="248" t="n"/>
      <c r="L461" s="248" t="n"/>
      <c r="M461" s="248" t="n"/>
      <c r="N461" s="248" t="n"/>
      <c r="O461" s="248" t="n"/>
      <c r="P461" s="248" t="n"/>
    </row>
    <row r="462" ht="15.75" customHeight="1">
      <c r="K462" s="248" t="n"/>
      <c r="L462" s="248" t="n"/>
      <c r="M462" s="248" t="n"/>
      <c r="N462" s="248" t="n"/>
      <c r="O462" s="248" t="n"/>
      <c r="P462" s="248" t="n"/>
    </row>
    <row r="463" ht="15.75" customHeight="1">
      <c r="K463" s="248" t="n"/>
      <c r="L463" s="248" t="n"/>
      <c r="M463" s="248" t="n"/>
      <c r="N463" s="248" t="n"/>
      <c r="O463" s="248" t="n"/>
      <c r="P463" s="248" t="n"/>
    </row>
    <row r="464" ht="15.75" customHeight="1">
      <c r="K464" s="248" t="n"/>
      <c r="L464" s="248" t="n"/>
      <c r="M464" s="248" t="n"/>
      <c r="N464" s="248" t="n"/>
      <c r="O464" s="248" t="n"/>
      <c r="P464" s="248" t="n"/>
    </row>
    <row r="465" ht="15.75" customHeight="1">
      <c r="K465" s="248" t="n"/>
      <c r="L465" s="248" t="n"/>
      <c r="M465" s="248" t="n"/>
      <c r="N465" s="248" t="n"/>
      <c r="O465" s="248" t="n"/>
      <c r="P465" s="248" t="n"/>
    </row>
    <row r="466" ht="15.75" customHeight="1">
      <c r="K466" s="248" t="n"/>
      <c r="L466" s="248" t="n"/>
      <c r="M466" s="248" t="n"/>
      <c r="N466" s="248" t="n"/>
      <c r="O466" s="248" t="n"/>
      <c r="P466" s="248" t="n"/>
    </row>
    <row r="467" ht="15.75" customHeight="1">
      <c r="K467" s="248" t="n"/>
      <c r="L467" s="248" t="n"/>
      <c r="M467" s="248" t="n"/>
      <c r="N467" s="248" t="n"/>
      <c r="O467" s="248" t="n"/>
      <c r="P467" s="248" t="n"/>
    </row>
    <row r="468" ht="15.75" customHeight="1">
      <c r="K468" s="248" t="n"/>
      <c r="L468" s="248" t="n"/>
      <c r="M468" s="248" t="n"/>
      <c r="N468" s="248" t="n"/>
      <c r="O468" s="248" t="n"/>
      <c r="P468" s="248" t="n"/>
    </row>
    <row r="469" ht="15.75" customHeight="1">
      <c r="K469" s="248" t="n"/>
      <c r="L469" s="248" t="n"/>
      <c r="M469" s="248" t="n"/>
      <c r="N469" s="248" t="n"/>
      <c r="O469" s="248" t="n"/>
      <c r="P469" s="248" t="n"/>
    </row>
    <row r="470" ht="15.75" customHeight="1">
      <c r="K470" s="248" t="n"/>
      <c r="L470" s="248" t="n"/>
      <c r="M470" s="248" t="n"/>
      <c r="N470" s="248" t="n"/>
      <c r="O470" s="248" t="n"/>
      <c r="P470" s="248" t="n"/>
    </row>
    <row r="471" ht="15.75" customHeight="1">
      <c r="K471" s="248" t="n"/>
      <c r="L471" s="248" t="n"/>
      <c r="M471" s="248" t="n"/>
      <c r="N471" s="248" t="n"/>
      <c r="O471" s="248" t="n"/>
      <c r="P471" s="248" t="n"/>
    </row>
    <row r="472" ht="15.75" customHeight="1">
      <c r="K472" s="248" t="n"/>
      <c r="L472" s="248" t="n"/>
      <c r="M472" s="248" t="n"/>
      <c r="N472" s="248" t="n"/>
      <c r="O472" s="248" t="n"/>
      <c r="P472" s="248" t="n"/>
    </row>
    <row r="473" ht="15.75" customHeight="1">
      <c r="K473" s="248" t="n"/>
      <c r="L473" s="248" t="n"/>
      <c r="M473" s="248" t="n"/>
      <c r="N473" s="248" t="n"/>
      <c r="O473" s="248" t="n"/>
      <c r="P473" s="248" t="n"/>
    </row>
    <row r="474" ht="15.75" customHeight="1">
      <c r="K474" s="248" t="n"/>
      <c r="L474" s="248" t="n"/>
      <c r="M474" s="248" t="n"/>
      <c r="N474" s="248" t="n"/>
      <c r="O474" s="248" t="n"/>
      <c r="P474" s="248" t="n"/>
    </row>
    <row r="475" ht="15.75" customHeight="1">
      <c r="K475" s="248" t="n"/>
      <c r="L475" s="248" t="n"/>
      <c r="M475" s="248" t="n"/>
      <c r="N475" s="248" t="n"/>
      <c r="O475" s="248" t="n"/>
      <c r="P475" s="248" t="n"/>
    </row>
    <row r="476" ht="15.75" customHeight="1">
      <c r="K476" s="248" t="n"/>
      <c r="L476" s="248" t="n"/>
      <c r="M476" s="248" t="n"/>
      <c r="N476" s="248" t="n"/>
      <c r="O476" s="248" t="n"/>
      <c r="P476" s="248" t="n"/>
    </row>
    <row r="477" ht="15.75" customHeight="1">
      <c r="K477" s="248" t="n"/>
      <c r="L477" s="248" t="n"/>
      <c r="M477" s="248" t="n"/>
      <c r="N477" s="248" t="n"/>
      <c r="O477" s="248" t="n"/>
      <c r="P477" s="248" t="n"/>
    </row>
    <row r="478" ht="15.75" customHeight="1">
      <c r="K478" s="248" t="n"/>
      <c r="L478" s="248" t="n"/>
      <c r="M478" s="248" t="n"/>
      <c r="N478" s="248" t="n"/>
      <c r="O478" s="248" t="n"/>
      <c r="P478" s="248" t="n"/>
    </row>
    <row r="479" ht="15.75" customHeight="1">
      <c r="K479" s="248" t="n"/>
      <c r="L479" s="248" t="n"/>
      <c r="M479" s="248" t="n"/>
      <c r="N479" s="248" t="n"/>
      <c r="O479" s="248" t="n"/>
      <c r="P479" s="248" t="n"/>
    </row>
    <row r="480" ht="15.75" customHeight="1">
      <c r="K480" s="248" t="n"/>
      <c r="L480" s="248" t="n"/>
      <c r="M480" s="248" t="n"/>
      <c r="N480" s="248" t="n"/>
      <c r="O480" s="248" t="n"/>
      <c r="P480" s="248" t="n"/>
    </row>
    <row r="481" ht="15.75" customHeight="1">
      <c r="K481" s="248" t="n"/>
      <c r="L481" s="248" t="n"/>
      <c r="M481" s="248" t="n"/>
      <c r="N481" s="248" t="n"/>
      <c r="O481" s="248" t="n"/>
      <c r="P481" s="248" t="n"/>
    </row>
    <row r="482" ht="15.75" customHeight="1">
      <c r="K482" s="248" t="n"/>
      <c r="L482" s="248" t="n"/>
      <c r="M482" s="248" t="n"/>
      <c r="N482" s="248" t="n"/>
      <c r="O482" s="248" t="n"/>
      <c r="P482" s="248" t="n"/>
    </row>
    <row r="483" ht="15.75" customHeight="1">
      <c r="K483" s="248" t="n"/>
      <c r="L483" s="248" t="n"/>
      <c r="M483" s="248" t="n"/>
      <c r="N483" s="248" t="n"/>
      <c r="O483" s="248" t="n"/>
      <c r="P483" s="248" t="n"/>
    </row>
    <row r="484" ht="15.75" customHeight="1">
      <c r="K484" s="248" t="n"/>
      <c r="L484" s="248" t="n"/>
      <c r="M484" s="248" t="n"/>
      <c r="N484" s="248" t="n"/>
      <c r="O484" s="248" t="n"/>
      <c r="P484" s="248" t="n"/>
    </row>
    <row r="485" ht="15.75" customHeight="1">
      <c r="K485" s="248" t="n"/>
      <c r="L485" s="248" t="n"/>
      <c r="M485" s="248" t="n"/>
      <c r="N485" s="248" t="n"/>
      <c r="O485" s="248" t="n"/>
      <c r="P485" s="248" t="n"/>
    </row>
    <row r="486" ht="15.75" customHeight="1">
      <c r="K486" s="248" t="n"/>
      <c r="L486" s="248" t="n"/>
      <c r="M486" s="248" t="n"/>
      <c r="N486" s="248" t="n"/>
      <c r="O486" s="248" t="n"/>
      <c r="P486" s="248" t="n"/>
    </row>
    <row r="487" ht="15.75" customHeight="1">
      <c r="K487" s="248" t="n"/>
      <c r="L487" s="248" t="n"/>
      <c r="M487" s="248" t="n"/>
      <c r="N487" s="248" t="n"/>
      <c r="O487" s="248" t="n"/>
      <c r="P487" s="248" t="n"/>
    </row>
    <row r="488" ht="15.75" customHeight="1">
      <c r="K488" s="248" t="n"/>
      <c r="L488" s="248" t="n"/>
      <c r="M488" s="248" t="n"/>
      <c r="N488" s="248" t="n"/>
      <c r="O488" s="248" t="n"/>
      <c r="P488" s="248" t="n"/>
    </row>
    <row r="489" ht="15.75" customHeight="1">
      <c r="K489" s="248" t="n"/>
      <c r="L489" s="248" t="n"/>
      <c r="M489" s="248" t="n"/>
      <c r="N489" s="248" t="n"/>
      <c r="O489" s="248" t="n"/>
      <c r="P489" s="248" t="n"/>
    </row>
    <row r="490" ht="15.75" customHeight="1">
      <c r="K490" s="248" t="n"/>
      <c r="L490" s="248" t="n"/>
      <c r="M490" s="248" t="n"/>
      <c r="N490" s="248" t="n"/>
      <c r="O490" s="248" t="n"/>
      <c r="P490" s="248" t="n"/>
    </row>
    <row r="491" ht="15.75" customHeight="1">
      <c r="K491" s="248" t="n"/>
      <c r="L491" s="248" t="n"/>
      <c r="M491" s="248" t="n"/>
      <c r="N491" s="248" t="n"/>
      <c r="O491" s="248" t="n"/>
      <c r="P491" s="248" t="n"/>
    </row>
    <row r="492" ht="15.75" customHeight="1">
      <c r="K492" s="248" t="n"/>
      <c r="L492" s="248" t="n"/>
      <c r="M492" s="248" t="n"/>
      <c r="N492" s="248" t="n"/>
      <c r="O492" s="248" t="n"/>
      <c r="P492" s="248" t="n"/>
    </row>
    <row r="493" ht="15.75" customHeight="1">
      <c r="K493" s="248" t="n"/>
      <c r="L493" s="248" t="n"/>
      <c r="M493" s="248" t="n"/>
      <c r="N493" s="248" t="n"/>
      <c r="O493" s="248" t="n"/>
      <c r="P493" s="248" t="n"/>
    </row>
    <row r="494" ht="15.75" customHeight="1">
      <c r="K494" s="248" t="n"/>
      <c r="L494" s="248" t="n"/>
      <c r="M494" s="248" t="n"/>
      <c r="N494" s="248" t="n"/>
      <c r="O494" s="248" t="n"/>
      <c r="P494" s="248" t="n"/>
    </row>
    <row r="495" ht="15.75" customHeight="1">
      <c r="K495" s="248" t="n"/>
      <c r="L495" s="248" t="n"/>
      <c r="M495" s="248" t="n"/>
      <c r="N495" s="248" t="n"/>
      <c r="O495" s="248" t="n"/>
      <c r="P495" s="248" t="n"/>
    </row>
    <row r="496" ht="15.75" customHeight="1">
      <c r="K496" s="248" t="n"/>
      <c r="L496" s="248" t="n"/>
      <c r="M496" s="248" t="n"/>
      <c r="N496" s="248" t="n"/>
      <c r="O496" s="248" t="n"/>
      <c r="P496" s="248" t="n"/>
    </row>
    <row r="497" ht="15.75" customHeight="1">
      <c r="K497" s="248" t="n"/>
      <c r="L497" s="248" t="n"/>
      <c r="M497" s="248" t="n"/>
      <c r="N497" s="248" t="n"/>
      <c r="O497" s="248" t="n"/>
      <c r="P497" s="248" t="n"/>
    </row>
    <row r="498" ht="15.75" customHeight="1">
      <c r="K498" s="248" t="n"/>
      <c r="L498" s="248" t="n"/>
      <c r="M498" s="248" t="n"/>
      <c r="N498" s="248" t="n"/>
      <c r="O498" s="248" t="n"/>
      <c r="P498" s="248" t="n"/>
    </row>
    <row r="499" ht="15.75" customHeight="1">
      <c r="K499" s="248" t="n"/>
      <c r="L499" s="248" t="n"/>
      <c r="M499" s="248" t="n"/>
      <c r="N499" s="248" t="n"/>
      <c r="O499" s="248" t="n"/>
      <c r="P499" s="248" t="n"/>
    </row>
    <row r="500" ht="15.75" customHeight="1">
      <c r="K500" s="248" t="n"/>
      <c r="L500" s="248" t="n"/>
      <c r="M500" s="248" t="n"/>
      <c r="N500" s="248" t="n"/>
      <c r="O500" s="248" t="n"/>
      <c r="P500" s="248" t="n"/>
    </row>
    <row r="501" ht="15.75" customHeight="1">
      <c r="K501" s="248" t="n"/>
      <c r="L501" s="248" t="n"/>
      <c r="M501" s="248" t="n"/>
      <c r="N501" s="248" t="n"/>
      <c r="O501" s="248" t="n"/>
      <c r="P501" s="248" t="n"/>
    </row>
    <row r="502" ht="15.75" customHeight="1">
      <c r="K502" s="248" t="n"/>
      <c r="L502" s="248" t="n"/>
      <c r="M502" s="248" t="n"/>
      <c r="N502" s="248" t="n"/>
      <c r="O502" s="248" t="n"/>
      <c r="P502" s="248" t="n"/>
    </row>
    <row r="503" ht="15.75" customHeight="1">
      <c r="K503" s="248" t="n"/>
      <c r="L503" s="248" t="n"/>
      <c r="M503" s="248" t="n"/>
      <c r="N503" s="248" t="n"/>
      <c r="O503" s="248" t="n"/>
      <c r="P503" s="248" t="n"/>
    </row>
    <row r="504" ht="15.75" customHeight="1">
      <c r="K504" s="248" t="n"/>
      <c r="L504" s="248" t="n"/>
      <c r="M504" s="248" t="n"/>
      <c r="N504" s="248" t="n"/>
      <c r="O504" s="248" t="n"/>
      <c r="P504" s="248" t="n"/>
    </row>
    <row r="505" ht="15.75" customHeight="1">
      <c r="K505" s="248" t="n"/>
      <c r="L505" s="248" t="n"/>
      <c r="M505" s="248" t="n"/>
      <c r="N505" s="248" t="n"/>
      <c r="O505" s="248" t="n"/>
      <c r="P505" s="248" t="n"/>
    </row>
    <row r="506" ht="15.75" customHeight="1">
      <c r="K506" s="248" t="n"/>
      <c r="L506" s="248" t="n"/>
      <c r="M506" s="248" t="n"/>
      <c r="N506" s="248" t="n"/>
      <c r="O506" s="248" t="n"/>
      <c r="P506" s="248" t="n"/>
    </row>
    <row r="507" ht="15.75" customHeight="1">
      <c r="K507" s="248" t="n"/>
      <c r="L507" s="248" t="n"/>
      <c r="M507" s="248" t="n"/>
      <c r="N507" s="248" t="n"/>
      <c r="O507" s="248" t="n"/>
      <c r="P507" s="248" t="n"/>
    </row>
    <row r="508" ht="15.75" customHeight="1">
      <c r="K508" s="248" t="n"/>
      <c r="L508" s="248" t="n"/>
      <c r="M508" s="248" t="n"/>
      <c r="N508" s="248" t="n"/>
      <c r="O508" s="248" t="n"/>
      <c r="P508" s="248" t="n"/>
    </row>
    <row r="509" ht="15.75" customHeight="1">
      <c r="K509" s="248" t="n"/>
      <c r="L509" s="248" t="n"/>
      <c r="M509" s="248" t="n"/>
      <c r="N509" s="248" t="n"/>
      <c r="O509" s="248" t="n"/>
      <c r="P509" s="248" t="n"/>
    </row>
    <row r="510" ht="15.75" customHeight="1">
      <c r="K510" s="248" t="n"/>
      <c r="L510" s="248" t="n"/>
      <c r="M510" s="248" t="n"/>
      <c r="N510" s="248" t="n"/>
      <c r="O510" s="248" t="n"/>
      <c r="P510" s="248" t="n"/>
    </row>
    <row r="511" ht="15.75" customHeight="1">
      <c r="K511" s="248" t="n"/>
      <c r="L511" s="248" t="n"/>
      <c r="M511" s="248" t="n"/>
      <c r="N511" s="248" t="n"/>
      <c r="O511" s="248" t="n"/>
      <c r="P511" s="248" t="n"/>
    </row>
    <row r="512" ht="15.75" customHeight="1">
      <c r="K512" s="248" t="n"/>
      <c r="L512" s="248" t="n"/>
      <c r="M512" s="248" t="n"/>
      <c r="N512" s="248" t="n"/>
      <c r="O512" s="248" t="n"/>
      <c r="P512" s="248" t="n"/>
    </row>
    <row r="513" ht="15.75" customHeight="1">
      <c r="K513" s="248" t="n"/>
      <c r="L513" s="248" t="n"/>
      <c r="M513" s="248" t="n"/>
      <c r="N513" s="248" t="n"/>
      <c r="O513" s="248" t="n"/>
      <c r="P513" s="248" t="n"/>
    </row>
    <row r="514" ht="15.75" customHeight="1">
      <c r="K514" s="248" t="n"/>
      <c r="L514" s="248" t="n"/>
      <c r="M514" s="248" t="n"/>
      <c r="N514" s="248" t="n"/>
      <c r="O514" s="248" t="n"/>
      <c r="P514" s="248" t="n"/>
    </row>
    <row r="515" ht="15.75" customHeight="1">
      <c r="K515" s="248" t="n"/>
      <c r="L515" s="248" t="n"/>
      <c r="M515" s="248" t="n"/>
      <c r="N515" s="248" t="n"/>
      <c r="O515" s="248" t="n"/>
      <c r="P515" s="248" t="n"/>
    </row>
    <row r="516" ht="15.75" customHeight="1">
      <c r="K516" s="248" t="n"/>
      <c r="L516" s="248" t="n"/>
      <c r="M516" s="248" t="n"/>
      <c r="N516" s="248" t="n"/>
      <c r="O516" s="248" t="n"/>
      <c r="P516" s="248" t="n"/>
    </row>
    <row r="517" ht="15.75" customHeight="1">
      <c r="K517" s="248" t="n"/>
      <c r="L517" s="248" t="n"/>
      <c r="M517" s="248" t="n"/>
      <c r="N517" s="248" t="n"/>
      <c r="O517" s="248" t="n"/>
      <c r="P517" s="248" t="n"/>
    </row>
    <row r="518" ht="15.75" customHeight="1">
      <c r="K518" s="248" t="n"/>
      <c r="L518" s="248" t="n"/>
      <c r="M518" s="248" t="n"/>
      <c r="N518" s="248" t="n"/>
      <c r="O518" s="248" t="n"/>
      <c r="P518" s="248" t="n"/>
    </row>
    <row r="519" ht="15.75" customHeight="1">
      <c r="K519" s="248" t="n"/>
      <c r="L519" s="248" t="n"/>
      <c r="M519" s="248" t="n"/>
      <c r="N519" s="248" t="n"/>
      <c r="O519" s="248" t="n"/>
      <c r="P519" s="248" t="n"/>
    </row>
    <row r="520" ht="15.75" customHeight="1">
      <c r="K520" s="248" t="n"/>
      <c r="L520" s="248" t="n"/>
      <c r="M520" s="248" t="n"/>
      <c r="N520" s="248" t="n"/>
      <c r="O520" s="248" t="n"/>
      <c r="P520" s="248" t="n"/>
    </row>
    <row r="521" ht="15.75" customHeight="1">
      <c r="K521" s="248" t="n"/>
      <c r="L521" s="248" t="n"/>
      <c r="M521" s="248" t="n"/>
      <c r="N521" s="248" t="n"/>
      <c r="O521" s="248" t="n"/>
      <c r="P521" s="248" t="n"/>
    </row>
    <row r="522" ht="15.75" customHeight="1">
      <c r="K522" s="248" t="n"/>
      <c r="L522" s="248" t="n"/>
      <c r="M522" s="248" t="n"/>
      <c r="N522" s="248" t="n"/>
      <c r="O522" s="248" t="n"/>
      <c r="P522" s="248" t="n"/>
    </row>
    <row r="523" ht="15.75" customHeight="1">
      <c r="K523" s="248" t="n"/>
      <c r="L523" s="248" t="n"/>
      <c r="M523" s="248" t="n"/>
      <c r="N523" s="248" t="n"/>
      <c r="O523" s="248" t="n"/>
      <c r="P523" s="248" t="n"/>
    </row>
    <row r="524" ht="15.75" customHeight="1">
      <c r="K524" s="248" t="n"/>
      <c r="L524" s="248" t="n"/>
      <c r="M524" s="248" t="n"/>
      <c r="N524" s="248" t="n"/>
      <c r="O524" s="248" t="n"/>
      <c r="P524" s="248" t="n"/>
    </row>
    <row r="525" ht="15.75" customHeight="1">
      <c r="K525" s="248" t="n"/>
      <c r="L525" s="248" t="n"/>
      <c r="M525" s="248" t="n"/>
      <c r="N525" s="248" t="n"/>
      <c r="O525" s="248" t="n"/>
      <c r="P525" s="248" t="n"/>
    </row>
    <row r="526" ht="15.75" customHeight="1">
      <c r="K526" s="248" t="n"/>
      <c r="L526" s="248" t="n"/>
      <c r="M526" s="248" t="n"/>
      <c r="N526" s="248" t="n"/>
      <c r="O526" s="248" t="n"/>
      <c r="P526" s="248" t="n"/>
    </row>
    <row r="527" ht="15.75" customHeight="1">
      <c r="K527" s="248" t="n"/>
      <c r="L527" s="248" t="n"/>
      <c r="M527" s="248" t="n"/>
      <c r="N527" s="248" t="n"/>
      <c r="O527" s="248" t="n"/>
      <c r="P527" s="248" t="n"/>
    </row>
    <row r="528" ht="15.75" customHeight="1">
      <c r="K528" s="248" t="n"/>
      <c r="L528" s="248" t="n"/>
      <c r="M528" s="248" t="n"/>
      <c r="N528" s="248" t="n"/>
      <c r="O528" s="248" t="n"/>
      <c r="P528" s="248" t="n"/>
    </row>
    <row r="529" ht="15.75" customHeight="1">
      <c r="K529" s="248" t="n"/>
      <c r="L529" s="248" t="n"/>
      <c r="M529" s="248" t="n"/>
      <c r="N529" s="248" t="n"/>
      <c r="O529" s="248" t="n"/>
      <c r="P529" s="248" t="n"/>
    </row>
    <row r="530" ht="15.75" customHeight="1">
      <c r="K530" s="248" t="n"/>
      <c r="L530" s="248" t="n"/>
      <c r="M530" s="248" t="n"/>
      <c r="N530" s="248" t="n"/>
      <c r="O530" s="248" t="n"/>
      <c r="P530" s="248" t="n"/>
    </row>
    <row r="531" ht="15.75" customHeight="1">
      <c r="K531" s="248" t="n"/>
      <c r="L531" s="248" t="n"/>
      <c r="M531" s="248" t="n"/>
      <c r="N531" s="248" t="n"/>
      <c r="O531" s="248" t="n"/>
      <c r="P531" s="248" t="n"/>
    </row>
    <row r="532" ht="15.75" customHeight="1">
      <c r="K532" s="248" t="n"/>
      <c r="L532" s="248" t="n"/>
      <c r="M532" s="248" t="n"/>
      <c r="N532" s="248" t="n"/>
      <c r="O532" s="248" t="n"/>
      <c r="P532" s="248" t="n"/>
    </row>
    <row r="533" ht="15.75" customHeight="1">
      <c r="K533" s="248" t="n"/>
      <c r="L533" s="248" t="n"/>
      <c r="M533" s="248" t="n"/>
      <c r="N533" s="248" t="n"/>
      <c r="O533" s="248" t="n"/>
      <c r="P533" s="248" t="n"/>
    </row>
    <row r="534" ht="15.75" customHeight="1">
      <c r="K534" s="248" t="n"/>
      <c r="L534" s="248" t="n"/>
      <c r="M534" s="248" t="n"/>
      <c r="N534" s="248" t="n"/>
      <c r="O534" s="248" t="n"/>
      <c r="P534" s="248" t="n"/>
    </row>
    <row r="535" ht="15.75" customHeight="1">
      <c r="K535" s="248" t="n"/>
      <c r="L535" s="248" t="n"/>
      <c r="M535" s="248" t="n"/>
      <c r="N535" s="248" t="n"/>
      <c r="O535" s="248" t="n"/>
      <c r="P535" s="248" t="n"/>
    </row>
    <row r="536" ht="15.75" customHeight="1">
      <c r="K536" s="248" t="n"/>
      <c r="L536" s="248" t="n"/>
      <c r="M536" s="248" t="n"/>
      <c r="N536" s="248" t="n"/>
      <c r="O536" s="248" t="n"/>
      <c r="P536" s="248" t="n"/>
    </row>
    <row r="537" ht="15.75" customHeight="1">
      <c r="K537" s="248" t="n"/>
      <c r="L537" s="248" t="n"/>
      <c r="M537" s="248" t="n"/>
      <c r="N537" s="248" t="n"/>
      <c r="O537" s="248" t="n"/>
      <c r="P537" s="248" t="n"/>
    </row>
    <row r="538" ht="15.75" customHeight="1">
      <c r="K538" s="248" t="n"/>
      <c r="L538" s="248" t="n"/>
      <c r="M538" s="248" t="n"/>
      <c r="N538" s="248" t="n"/>
      <c r="O538" s="248" t="n"/>
      <c r="P538" s="248" t="n"/>
    </row>
    <row r="539" ht="15.75" customHeight="1">
      <c r="K539" s="248" t="n"/>
      <c r="L539" s="248" t="n"/>
      <c r="M539" s="248" t="n"/>
      <c r="N539" s="248" t="n"/>
      <c r="O539" s="248" t="n"/>
      <c r="P539" s="248" t="n"/>
    </row>
    <row r="540" ht="15.75" customHeight="1">
      <c r="K540" s="248" t="n"/>
      <c r="L540" s="248" t="n"/>
      <c r="M540" s="248" t="n"/>
      <c r="N540" s="248" t="n"/>
      <c r="O540" s="248" t="n"/>
      <c r="P540" s="248" t="n"/>
    </row>
    <row r="541" ht="15.75" customHeight="1">
      <c r="K541" s="248" t="n"/>
      <c r="L541" s="248" t="n"/>
      <c r="M541" s="248" t="n"/>
      <c r="N541" s="248" t="n"/>
      <c r="O541" s="248" t="n"/>
      <c r="P541" s="248" t="n"/>
    </row>
    <row r="542" ht="15.75" customHeight="1">
      <c r="K542" s="248" t="n"/>
      <c r="L542" s="248" t="n"/>
      <c r="M542" s="248" t="n"/>
      <c r="N542" s="248" t="n"/>
      <c r="O542" s="248" t="n"/>
      <c r="P542" s="248" t="n"/>
    </row>
    <row r="543" ht="15.75" customHeight="1">
      <c r="K543" s="248" t="n"/>
      <c r="L543" s="248" t="n"/>
      <c r="M543" s="248" t="n"/>
      <c r="N543" s="248" t="n"/>
      <c r="O543" s="248" t="n"/>
      <c r="P543" s="248" t="n"/>
    </row>
    <row r="544" ht="15.75" customHeight="1">
      <c r="K544" s="248" t="n"/>
      <c r="L544" s="248" t="n"/>
      <c r="M544" s="248" t="n"/>
      <c r="N544" s="248" t="n"/>
      <c r="O544" s="248" t="n"/>
      <c r="P544" s="248" t="n"/>
    </row>
    <row r="545" ht="15.75" customHeight="1">
      <c r="K545" s="248" t="n"/>
      <c r="L545" s="248" t="n"/>
      <c r="M545" s="248" t="n"/>
      <c r="N545" s="248" t="n"/>
      <c r="O545" s="248" t="n"/>
      <c r="P545" s="248" t="n"/>
    </row>
    <row r="546" ht="15.75" customHeight="1">
      <c r="K546" s="248" t="n"/>
      <c r="L546" s="248" t="n"/>
      <c r="M546" s="248" t="n"/>
      <c r="N546" s="248" t="n"/>
      <c r="O546" s="248" t="n"/>
      <c r="P546" s="248" t="n"/>
    </row>
    <row r="547" ht="15.75" customHeight="1">
      <c r="K547" s="248" t="n"/>
      <c r="L547" s="248" t="n"/>
      <c r="M547" s="248" t="n"/>
      <c r="N547" s="248" t="n"/>
      <c r="O547" s="248" t="n"/>
      <c r="P547" s="248" t="n"/>
    </row>
    <row r="548" ht="15.75" customHeight="1">
      <c r="K548" s="248" t="n"/>
      <c r="L548" s="248" t="n"/>
      <c r="M548" s="248" t="n"/>
      <c r="N548" s="248" t="n"/>
      <c r="O548" s="248" t="n"/>
      <c r="P548" s="248" t="n"/>
    </row>
    <row r="549" ht="15.75" customHeight="1">
      <c r="K549" s="248" t="n"/>
      <c r="L549" s="248" t="n"/>
      <c r="M549" s="248" t="n"/>
      <c r="N549" s="248" t="n"/>
      <c r="O549" s="248" t="n"/>
      <c r="P549" s="248" t="n"/>
    </row>
    <row r="550" ht="15.75" customHeight="1">
      <c r="K550" s="248" t="n"/>
      <c r="L550" s="248" t="n"/>
      <c r="M550" s="248" t="n"/>
      <c r="N550" s="248" t="n"/>
      <c r="O550" s="248" t="n"/>
      <c r="P550" s="248" t="n"/>
    </row>
    <row r="551" ht="15.75" customHeight="1">
      <c r="K551" s="248" t="n"/>
      <c r="L551" s="248" t="n"/>
      <c r="M551" s="248" t="n"/>
      <c r="N551" s="248" t="n"/>
      <c r="O551" s="248" t="n"/>
      <c r="P551" s="248" t="n"/>
    </row>
    <row r="552" ht="15.75" customHeight="1">
      <c r="K552" s="248" t="n"/>
      <c r="L552" s="248" t="n"/>
      <c r="M552" s="248" t="n"/>
      <c r="N552" s="248" t="n"/>
      <c r="O552" s="248" t="n"/>
      <c r="P552" s="248" t="n"/>
    </row>
    <row r="553" ht="15.75" customHeight="1">
      <c r="K553" s="248" t="n"/>
      <c r="L553" s="248" t="n"/>
      <c r="M553" s="248" t="n"/>
      <c r="N553" s="248" t="n"/>
      <c r="O553" s="248" t="n"/>
      <c r="P553" s="248" t="n"/>
    </row>
    <row r="554" ht="15.75" customHeight="1">
      <c r="K554" s="248" t="n"/>
      <c r="L554" s="248" t="n"/>
      <c r="M554" s="248" t="n"/>
      <c r="N554" s="248" t="n"/>
      <c r="O554" s="248" t="n"/>
      <c r="P554" s="248" t="n"/>
    </row>
    <row r="555" ht="15.75" customHeight="1">
      <c r="K555" s="248" t="n"/>
      <c r="L555" s="248" t="n"/>
      <c r="M555" s="248" t="n"/>
      <c r="N555" s="248" t="n"/>
      <c r="O555" s="248" t="n"/>
      <c r="P555" s="248" t="n"/>
    </row>
    <row r="556" ht="15.75" customHeight="1">
      <c r="K556" s="248" t="n"/>
      <c r="L556" s="248" t="n"/>
      <c r="M556" s="248" t="n"/>
      <c r="N556" s="248" t="n"/>
      <c r="O556" s="248" t="n"/>
      <c r="P556" s="248" t="n"/>
    </row>
    <row r="557" ht="15.75" customHeight="1">
      <c r="K557" s="248" t="n"/>
      <c r="L557" s="248" t="n"/>
      <c r="M557" s="248" t="n"/>
      <c r="N557" s="248" t="n"/>
      <c r="O557" s="248" t="n"/>
      <c r="P557" s="248" t="n"/>
    </row>
    <row r="558" ht="15.75" customHeight="1">
      <c r="K558" s="248" t="n"/>
      <c r="L558" s="248" t="n"/>
      <c r="M558" s="248" t="n"/>
      <c r="N558" s="248" t="n"/>
      <c r="O558" s="248" t="n"/>
      <c r="P558" s="248" t="n"/>
    </row>
    <row r="559" ht="15.75" customHeight="1">
      <c r="K559" s="248" t="n"/>
      <c r="L559" s="248" t="n"/>
      <c r="M559" s="248" t="n"/>
      <c r="N559" s="248" t="n"/>
      <c r="O559" s="248" t="n"/>
      <c r="P559" s="248" t="n"/>
    </row>
    <row r="560" ht="15.75" customHeight="1">
      <c r="K560" s="248" t="n"/>
      <c r="L560" s="248" t="n"/>
      <c r="M560" s="248" t="n"/>
      <c r="N560" s="248" t="n"/>
      <c r="O560" s="248" t="n"/>
      <c r="P560" s="248" t="n"/>
    </row>
    <row r="561" ht="15.75" customHeight="1">
      <c r="K561" s="248" t="n"/>
      <c r="L561" s="248" t="n"/>
      <c r="M561" s="248" t="n"/>
      <c r="N561" s="248" t="n"/>
      <c r="O561" s="248" t="n"/>
      <c r="P561" s="248" t="n"/>
    </row>
    <row r="562" ht="15.75" customHeight="1">
      <c r="K562" s="248" t="n"/>
      <c r="L562" s="248" t="n"/>
      <c r="M562" s="248" t="n"/>
      <c r="N562" s="248" t="n"/>
      <c r="O562" s="248" t="n"/>
      <c r="P562" s="248" t="n"/>
    </row>
    <row r="563" ht="15.75" customHeight="1">
      <c r="K563" s="248" t="n"/>
      <c r="L563" s="248" t="n"/>
      <c r="M563" s="248" t="n"/>
      <c r="N563" s="248" t="n"/>
      <c r="O563" s="248" t="n"/>
      <c r="P563" s="248" t="n"/>
    </row>
    <row r="564" ht="15.75" customHeight="1">
      <c r="K564" s="248" t="n"/>
      <c r="L564" s="248" t="n"/>
      <c r="M564" s="248" t="n"/>
      <c r="N564" s="248" t="n"/>
      <c r="O564" s="248" t="n"/>
      <c r="P564" s="248" t="n"/>
    </row>
    <row r="565" ht="15.75" customHeight="1">
      <c r="K565" s="248" t="n"/>
      <c r="L565" s="248" t="n"/>
      <c r="M565" s="248" t="n"/>
      <c r="N565" s="248" t="n"/>
      <c r="O565" s="248" t="n"/>
      <c r="P565" s="248" t="n"/>
    </row>
    <row r="566" ht="15.75" customHeight="1">
      <c r="K566" s="248" t="n"/>
      <c r="L566" s="248" t="n"/>
      <c r="M566" s="248" t="n"/>
      <c r="N566" s="248" t="n"/>
      <c r="O566" s="248" t="n"/>
      <c r="P566" s="248" t="n"/>
    </row>
    <row r="567" ht="15.75" customHeight="1">
      <c r="K567" s="248" t="n"/>
      <c r="L567" s="248" t="n"/>
      <c r="M567" s="248" t="n"/>
      <c r="N567" s="248" t="n"/>
      <c r="O567" s="248" t="n"/>
      <c r="P567" s="248" t="n"/>
    </row>
    <row r="568" ht="15.75" customHeight="1">
      <c r="K568" s="248" t="n"/>
      <c r="L568" s="248" t="n"/>
      <c r="M568" s="248" t="n"/>
      <c r="N568" s="248" t="n"/>
      <c r="O568" s="248" t="n"/>
      <c r="P568" s="248" t="n"/>
    </row>
    <row r="569" ht="15.75" customHeight="1">
      <c r="K569" s="248" t="n"/>
      <c r="L569" s="248" t="n"/>
      <c r="M569" s="248" t="n"/>
      <c r="N569" s="248" t="n"/>
      <c r="O569" s="248" t="n"/>
      <c r="P569" s="248" t="n"/>
    </row>
    <row r="570" ht="15.75" customHeight="1">
      <c r="K570" s="248" t="n"/>
      <c r="L570" s="248" t="n"/>
      <c r="M570" s="248" t="n"/>
      <c r="N570" s="248" t="n"/>
      <c r="O570" s="248" t="n"/>
      <c r="P570" s="248" t="n"/>
    </row>
    <row r="571" ht="15.75" customHeight="1">
      <c r="K571" s="248" t="n"/>
      <c r="L571" s="248" t="n"/>
      <c r="M571" s="248" t="n"/>
      <c r="N571" s="248" t="n"/>
      <c r="O571" s="248" t="n"/>
      <c r="P571" s="248" t="n"/>
    </row>
    <row r="572" ht="15.75" customHeight="1">
      <c r="K572" s="248" t="n"/>
      <c r="L572" s="248" t="n"/>
      <c r="M572" s="248" t="n"/>
      <c r="N572" s="248" t="n"/>
      <c r="O572" s="248" t="n"/>
      <c r="P572" s="248" t="n"/>
    </row>
    <row r="573" ht="15.75" customHeight="1">
      <c r="K573" s="248" t="n"/>
      <c r="L573" s="248" t="n"/>
      <c r="M573" s="248" t="n"/>
      <c r="N573" s="248" t="n"/>
      <c r="O573" s="248" t="n"/>
      <c r="P573" s="248" t="n"/>
    </row>
    <row r="574" ht="15.75" customHeight="1">
      <c r="K574" s="248" t="n"/>
      <c r="L574" s="248" t="n"/>
      <c r="M574" s="248" t="n"/>
      <c r="N574" s="248" t="n"/>
      <c r="O574" s="248" t="n"/>
      <c r="P574" s="248" t="n"/>
    </row>
    <row r="575" ht="15.75" customHeight="1">
      <c r="K575" s="248" t="n"/>
      <c r="L575" s="248" t="n"/>
      <c r="M575" s="248" t="n"/>
      <c r="N575" s="248" t="n"/>
      <c r="O575" s="248" t="n"/>
      <c r="P575" s="248" t="n"/>
    </row>
    <row r="576" ht="15.75" customHeight="1">
      <c r="K576" s="248" t="n"/>
      <c r="L576" s="248" t="n"/>
      <c r="M576" s="248" t="n"/>
      <c r="N576" s="248" t="n"/>
      <c r="O576" s="248" t="n"/>
      <c r="P576" s="248" t="n"/>
    </row>
    <row r="577" ht="15.75" customHeight="1">
      <c r="K577" s="248" t="n"/>
      <c r="L577" s="248" t="n"/>
      <c r="M577" s="248" t="n"/>
      <c r="N577" s="248" t="n"/>
      <c r="O577" s="248" t="n"/>
      <c r="P577" s="248" t="n"/>
    </row>
    <row r="578" ht="15.75" customHeight="1">
      <c r="K578" s="248" t="n"/>
      <c r="L578" s="248" t="n"/>
      <c r="M578" s="248" t="n"/>
      <c r="N578" s="248" t="n"/>
      <c r="O578" s="248" t="n"/>
      <c r="P578" s="248" t="n"/>
    </row>
    <row r="579" ht="15.75" customHeight="1">
      <c r="K579" s="248" t="n"/>
      <c r="L579" s="248" t="n"/>
      <c r="M579" s="248" t="n"/>
      <c r="N579" s="248" t="n"/>
      <c r="O579" s="248" t="n"/>
      <c r="P579" s="248" t="n"/>
    </row>
    <row r="580" ht="15.75" customHeight="1">
      <c r="K580" s="248" t="n"/>
      <c r="L580" s="248" t="n"/>
      <c r="M580" s="248" t="n"/>
      <c r="N580" s="248" t="n"/>
      <c r="O580" s="248" t="n"/>
      <c r="P580" s="248" t="n"/>
    </row>
    <row r="581" ht="15.75" customHeight="1">
      <c r="K581" s="248" t="n"/>
      <c r="L581" s="248" t="n"/>
      <c r="M581" s="248" t="n"/>
      <c r="N581" s="248" t="n"/>
      <c r="O581" s="248" t="n"/>
      <c r="P581" s="248" t="n"/>
    </row>
    <row r="582" ht="15.75" customHeight="1">
      <c r="K582" s="248" t="n"/>
      <c r="L582" s="248" t="n"/>
      <c r="M582" s="248" t="n"/>
      <c r="N582" s="248" t="n"/>
      <c r="O582" s="248" t="n"/>
      <c r="P582" s="248" t="n"/>
    </row>
    <row r="583" ht="15.75" customHeight="1">
      <c r="K583" s="248" t="n"/>
      <c r="L583" s="248" t="n"/>
      <c r="M583" s="248" t="n"/>
      <c r="N583" s="248" t="n"/>
      <c r="O583" s="248" t="n"/>
      <c r="P583" s="248" t="n"/>
    </row>
    <row r="584" ht="15.75" customHeight="1">
      <c r="K584" s="248" t="n"/>
      <c r="L584" s="248" t="n"/>
      <c r="M584" s="248" t="n"/>
      <c r="N584" s="248" t="n"/>
      <c r="O584" s="248" t="n"/>
      <c r="P584" s="248" t="n"/>
    </row>
    <row r="585" ht="15.75" customHeight="1">
      <c r="K585" s="248" t="n"/>
      <c r="L585" s="248" t="n"/>
      <c r="M585" s="248" t="n"/>
      <c r="N585" s="248" t="n"/>
      <c r="O585" s="248" t="n"/>
      <c r="P585" s="248" t="n"/>
    </row>
    <row r="586" ht="15.75" customHeight="1">
      <c r="K586" s="248" t="n"/>
      <c r="L586" s="248" t="n"/>
      <c r="M586" s="248" t="n"/>
      <c r="N586" s="248" t="n"/>
      <c r="O586" s="248" t="n"/>
      <c r="P586" s="248" t="n"/>
    </row>
    <row r="587" ht="15.75" customHeight="1">
      <c r="K587" s="248" t="n"/>
      <c r="L587" s="248" t="n"/>
      <c r="M587" s="248" t="n"/>
      <c r="N587" s="248" t="n"/>
      <c r="O587" s="248" t="n"/>
      <c r="P587" s="248" t="n"/>
    </row>
    <row r="588" ht="15.75" customHeight="1">
      <c r="K588" s="248" t="n"/>
      <c r="L588" s="248" t="n"/>
      <c r="M588" s="248" t="n"/>
      <c r="N588" s="248" t="n"/>
      <c r="O588" s="248" t="n"/>
      <c r="P588" s="248" t="n"/>
    </row>
    <row r="589" ht="15.75" customHeight="1">
      <c r="K589" s="248" t="n"/>
      <c r="L589" s="248" t="n"/>
      <c r="M589" s="248" t="n"/>
      <c r="N589" s="248" t="n"/>
      <c r="O589" s="248" t="n"/>
      <c r="P589" s="248" t="n"/>
    </row>
    <row r="590" ht="15.75" customHeight="1">
      <c r="K590" s="248" t="n"/>
      <c r="L590" s="248" t="n"/>
      <c r="M590" s="248" t="n"/>
      <c r="N590" s="248" t="n"/>
      <c r="O590" s="248" t="n"/>
      <c r="P590" s="248" t="n"/>
    </row>
    <row r="591" ht="15.75" customHeight="1">
      <c r="K591" s="248" t="n"/>
      <c r="L591" s="248" t="n"/>
      <c r="M591" s="248" t="n"/>
      <c r="N591" s="248" t="n"/>
      <c r="O591" s="248" t="n"/>
      <c r="P591" s="248" t="n"/>
    </row>
    <row r="592" ht="15.75" customHeight="1">
      <c r="K592" s="248" t="n"/>
      <c r="L592" s="248" t="n"/>
      <c r="M592" s="248" t="n"/>
      <c r="N592" s="248" t="n"/>
      <c r="O592" s="248" t="n"/>
      <c r="P592" s="248" t="n"/>
    </row>
    <row r="593" ht="15.75" customHeight="1">
      <c r="K593" s="248" t="n"/>
      <c r="L593" s="248" t="n"/>
      <c r="M593" s="248" t="n"/>
      <c r="N593" s="248" t="n"/>
      <c r="O593" s="248" t="n"/>
      <c r="P593" s="248" t="n"/>
    </row>
    <row r="594" ht="15.75" customHeight="1">
      <c r="K594" s="248" t="n"/>
      <c r="L594" s="248" t="n"/>
      <c r="M594" s="248" t="n"/>
      <c r="N594" s="248" t="n"/>
      <c r="O594" s="248" t="n"/>
      <c r="P594" s="248" t="n"/>
    </row>
    <row r="595" ht="15.75" customHeight="1">
      <c r="K595" s="248" t="n"/>
      <c r="L595" s="248" t="n"/>
      <c r="M595" s="248" t="n"/>
      <c r="N595" s="248" t="n"/>
      <c r="O595" s="248" t="n"/>
      <c r="P595" s="248" t="n"/>
    </row>
    <row r="596" ht="15.75" customHeight="1">
      <c r="K596" s="248" t="n"/>
      <c r="L596" s="248" t="n"/>
      <c r="M596" s="248" t="n"/>
      <c r="N596" s="248" t="n"/>
      <c r="O596" s="248" t="n"/>
      <c r="P596" s="248" t="n"/>
    </row>
    <row r="597" ht="15.75" customHeight="1">
      <c r="K597" s="248" t="n"/>
      <c r="L597" s="248" t="n"/>
      <c r="M597" s="248" t="n"/>
      <c r="N597" s="248" t="n"/>
      <c r="O597" s="248" t="n"/>
      <c r="P597" s="248" t="n"/>
    </row>
    <row r="598" ht="15.75" customHeight="1">
      <c r="K598" s="248" t="n"/>
      <c r="L598" s="248" t="n"/>
      <c r="M598" s="248" t="n"/>
      <c r="N598" s="248" t="n"/>
      <c r="O598" s="248" t="n"/>
      <c r="P598" s="248" t="n"/>
    </row>
    <row r="599" ht="15.75" customHeight="1">
      <c r="K599" s="248" t="n"/>
      <c r="L599" s="248" t="n"/>
      <c r="M599" s="248" t="n"/>
      <c r="N599" s="248" t="n"/>
      <c r="O599" s="248" t="n"/>
      <c r="P599" s="248" t="n"/>
    </row>
    <row r="600" ht="15.75" customHeight="1">
      <c r="K600" s="248" t="n"/>
      <c r="L600" s="248" t="n"/>
      <c r="M600" s="248" t="n"/>
      <c r="N600" s="248" t="n"/>
      <c r="O600" s="248" t="n"/>
      <c r="P600" s="248" t="n"/>
    </row>
    <row r="601" ht="15.75" customHeight="1">
      <c r="K601" s="248" t="n"/>
      <c r="L601" s="248" t="n"/>
      <c r="M601" s="248" t="n"/>
      <c r="N601" s="248" t="n"/>
      <c r="O601" s="248" t="n"/>
      <c r="P601" s="248" t="n"/>
    </row>
    <row r="602" ht="15.75" customHeight="1">
      <c r="K602" s="248" t="n"/>
      <c r="L602" s="248" t="n"/>
      <c r="M602" s="248" t="n"/>
      <c r="N602" s="248" t="n"/>
      <c r="O602" s="248" t="n"/>
      <c r="P602" s="248" t="n"/>
    </row>
    <row r="603" ht="15.75" customHeight="1">
      <c r="K603" s="248" t="n"/>
      <c r="L603" s="248" t="n"/>
      <c r="M603" s="248" t="n"/>
      <c r="N603" s="248" t="n"/>
      <c r="O603" s="248" t="n"/>
      <c r="P603" s="248" t="n"/>
    </row>
    <row r="604" ht="15.75" customHeight="1">
      <c r="K604" s="248" t="n"/>
      <c r="L604" s="248" t="n"/>
      <c r="M604" s="248" t="n"/>
      <c r="N604" s="248" t="n"/>
      <c r="O604" s="248" t="n"/>
      <c r="P604" s="248" t="n"/>
    </row>
    <row r="605" ht="15.75" customHeight="1">
      <c r="K605" s="248" t="n"/>
      <c r="L605" s="248" t="n"/>
      <c r="M605" s="248" t="n"/>
      <c r="N605" s="248" t="n"/>
      <c r="O605" s="248" t="n"/>
      <c r="P605" s="248" t="n"/>
    </row>
    <row r="606" ht="15.75" customHeight="1">
      <c r="K606" s="248" t="n"/>
      <c r="L606" s="248" t="n"/>
      <c r="M606" s="248" t="n"/>
      <c r="N606" s="248" t="n"/>
      <c r="O606" s="248" t="n"/>
      <c r="P606" s="248" t="n"/>
    </row>
    <row r="607" ht="15.75" customHeight="1">
      <c r="K607" s="248" t="n"/>
      <c r="L607" s="248" t="n"/>
      <c r="M607" s="248" t="n"/>
      <c r="N607" s="248" t="n"/>
      <c r="O607" s="248" t="n"/>
      <c r="P607" s="248" t="n"/>
    </row>
    <row r="608" ht="15.75" customHeight="1">
      <c r="K608" s="248" t="n"/>
      <c r="L608" s="248" t="n"/>
      <c r="M608" s="248" t="n"/>
      <c r="N608" s="248" t="n"/>
      <c r="O608" s="248" t="n"/>
      <c r="P608" s="248" t="n"/>
    </row>
    <row r="609" ht="15.75" customHeight="1">
      <c r="K609" s="248" t="n"/>
      <c r="L609" s="248" t="n"/>
      <c r="M609" s="248" t="n"/>
      <c r="N609" s="248" t="n"/>
      <c r="O609" s="248" t="n"/>
      <c r="P609" s="248" t="n"/>
    </row>
    <row r="610" ht="15.75" customHeight="1">
      <c r="K610" s="248" t="n"/>
      <c r="L610" s="248" t="n"/>
      <c r="M610" s="248" t="n"/>
      <c r="N610" s="248" t="n"/>
      <c r="O610" s="248" t="n"/>
      <c r="P610" s="248" t="n"/>
    </row>
    <row r="611" ht="15.75" customHeight="1">
      <c r="K611" s="248" t="n"/>
      <c r="L611" s="248" t="n"/>
      <c r="M611" s="248" t="n"/>
      <c r="N611" s="248" t="n"/>
      <c r="O611" s="248" t="n"/>
      <c r="P611" s="248" t="n"/>
    </row>
    <row r="612" ht="15.75" customHeight="1">
      <c r="K612" s="248" t="n"/>
      <c r="L612" s="248" t="n"/>
      <c r="M612" s="248" t="n"/>
      <c r="N612" s="248" t="n"/>
      <c r="O612" s="248" t="n"/>
      <c r="P612" s="248" t="n"/>
    </row>
    <row r="613" ht="15.75" customHeight="1">
      <c r="K613" s="248" t="n"/>
      <c r="L613" s="248" t="n"/>
      <c r="M613" s="248" t="n"/>
      <c r="N613" s="248" t="n"/>
      <c r="O613" s="248" t="n"/>
      <c r="P613" s="248" t="n"/>
    </row>
    <row r="614" ht="15.75" customHeight="1">
      <c r="K614" s="248" t="n"/>
      <c r="L614" s="248" t="n"/>
      <c r="M614" s="248" t="n"/>
      <c r="N614" s="248" t="n"/>
      <c r="O614" s="248" t="n"/>
      <c r="P614" s="248" t="n"/>
    </row>
    <row r="615" ht="15.75" customHeight="1">
      <c r="K615" s="248" t="n"/>
      <c r="L615" s="248" t="n"/>
      <c r="M615" s="248" t="n"/>
      <c r="N615" s="248" t="n"/>
      <c r="O615" s="248" t="n"/>
      <c r="P615" s="248" t="n"/>
    </row>
    <row r="616" ht="15.75" customHeight="1">
      <c r="K616" s="248" t="n"/>
      <c r="L616" s="248" t="n"/>
      <c r="M616" s="248" t="n"/>
      <c r="N616" s="248" t="n"/>
      <c r="O616" s="248" t="n"/>
      <c r="P616" s="248" t="n"/>
    </row>
    <row r="617" ht="15.75" customHeight="1">
      <c r="K617" s="248" t="n"/>
      <c r="L617" s="248" t="n"/>
      <c r="M617" s="248" t="n"/>
      <c r="N617" s="248" t="n"/>
      <c r="O617" s="248" t="n"/>
      <c r="P617" s="248" t="n"/>
    </row>
    <row r="618" ht="15.75" customHeight="1">
      <c r="K618" s="248" t="n"/>
      <c r="L618" s="248" t="n"/>
      <c r="M618" s="248" t="n"/>
      <c r="N618" s="248" t="n"/>
      <c r="O618" s="248" t="n"/>
      <c r="P618" s="248" t="n"/>
    </row>
    <row r="619" ht="15.75" customHeight="1">
      <c r="K619" s="248" t="n"/>
      <c r="L619" s="248" t="n"/>
      <c r="M619" s="248" t="n"/>
      <c r="N619" s="248" t="n"/>
      <c r="O619" s="248" t="n"/>
      <c r="P619" s="248" t="n"/>
    </row>
    <row r="620" ht="15.75" customHeight="1">
      <c r="K620" s="248" t="n"/>
      <c r="L620" s="248" t="n"/>
      <c r="M620" s="248" t="n"/>
      <c r="N620" s="248" t="n"/>
      <c r="O620" s="248" t="n"/>
      <c r="P620" s="248" t="n"/>
    </row>
    <row r="621" ht="15.75" customHeight="1">
      <c r="K621" s="248" t="n"/>
      <c r="L621" s="248" t="n"/>
      <c r="M621" s="248" t="n"/>
      <c r="N621" s="248" t="n"/>
      <c r="O621" s="248" t="n"/>
      <c r="P621" s="248" t="n"/>
    </row>
    <row r="622" ht="15.75" customHeight="1">
      <c r="K622" s="248" t="n"/>
      <c r="L622" s="248" t="n"/>
      <c r="M622" s="248" t="n"/>
      <c r="N622" s="248" t="n"/>
      <c r="O622" s="248" t="n"/>
      <c r="P622" s="248" t="n"/>
    </row>
    <row r="623" ht="15.75" customHeight="1">
      <c r="K623" s="248" t="n"/>
      <c r="L623" s="248" t="n"/>
      <c r="M623" s="248" t="n"/>
      <c r="N623" s="248" t="n"/>
      <c r="O623" s="248" t="n"/>
      <c r="P623" s="248" t="n"/>
    </row>
    <row r="624" ht="15.75" customHeight="1">
      <c r="K624" s="248" t="n"/>
      <c r="L624" s="248" t="n"/>
      <c r="M624" s="248" t="n"/>
      <c r="N624" s="248" t="n"/>
      <c r="O624" s="248" t="n"/>
      <c r="P624" s="248" t="n"/>
    </row>
    <row r="625" ht="15.75" customHeight="1">
      <c r="K625" s="248" t="n"/>
      <c r="L625" s="248" t="n"/>
      <c r="M625" s="248" t="n"/>
      <c r="N625" s="248" t="n"/>
      <c r="O625" s="248" t="n"/>
      <c r="P625" s="248" t="n"/>
    </row>
    <row r="626" ht="15.75" customHeight="1">
      <c r="K626" s="248" t="n"/>
      <c r="L626" s="248" t="n"/>
      <c r="M626" s="248" t="n"/>
      <c r="N626" s="248" t="n"/>
      <c r="O626" s="248" t="n"/>
      <c r="P626" s="248" t="n"/>
    </row>
    <row r="627" ht="15.75" customHeight="1">
      <c r="K627" s="248" t="n"/>
      <c r="L627" s="248" t="n"/>
      <c r="M627" s="248" t="n"/>
      <c r="N627" s="248" t="n"/>
      <c r="O627" s="248" t="n"/>
      <c r="P627" s="248" t="n"/>
    </row>
    <row r="628" ht="15.75" customHeight="1">
      <c r="K628" s="248" t="n"/>
      <c r="L628" s="248" t="n"/>
      <c r="M628" s="248" t="n"/>
      <c r="N628" s="248" t="n"/>
      <c r="O628" s="248" t="n"/>
      <c r="P628" s="248" t="n"/>
    </row>
    <row r="629" ht="15.75" customHeight="1">
      <c r="K629" s="248" t="n"/>
      <c r="L629" s="248" t="n"/>
      <c r="M629" s="248" t="n"/>
      <c r="N629" s="248" t="n"/>
      <c r="O629" s="248" t="n"/>
      <c r="P629" s="248" t="n"/>
    </row>
    <row r="630" ht="15.75" customHeight="1">
      <c r="K630" s="248" t="n"/>
      <c r="L630" s="248" t="n"/>
      <c r="M630" s="248" t="n"/>
      <c r="N630" s="248" t="n"/>
      <c r="O630" s="248" t="n"/>
      <c r="P630" s="248" t="n"/>
    </row>
    <row r="631" ht="15.75" customHeight="1">
      <c r="K631" s="248" t="n"/>
      <c r="L631" s="248" t="n"/>
      <c r="M631" s="248" t="n"/>
      <c r="N631" s="248" t="n"/>
      <c r="O631" s="248" t="n"/>
      <c r="P631" s="248" t="n"/>
    </row>
    <row r="632" ht="15.75" customHeight="1">
      <c r="K632" s="248" t="n"/>
      <c r="L632" s="248" t="n"/>
      <c r="M632" s="248" t="n"/>
      <c r="N632" s="248" t="n"/>
      <c r="O632" s="248" t="n"/>
      <c r="P632" s="248" t="n"/>
    </row>
    <row r="633" ht="15.75" customHeight="1">
      <c r="K633" s="248" t="n"/>
      <c r="L633" s="248" t="n"/>
      <c r="M633" s="248" t="n"/>
      <c r="N633" s="248" t="n"/>
      <c r="O633" s="248" t="n"/>
      <c r="P633" s="248" t="n"/>
    </row>
    <row r="634" ht="15.75" customHeight="1">
      <c r="K634" s="248" t="n"/>
      <c r="L634" s="248" t="n"/>
      <c r="M634" s="248" t="n"/>
      <c r="N634" s="248" t="n"/>
      <c r="O634" s="248" t="n"/>
      <c r="P634" s="248" t="n"/>
    </row>
    <row r="635" ht="15.75" customHeight="1">
      <c r="K635" s="248" t="n"/>
      <c r="L635" s="248" t="n"/>
      <c r="M635" s="248" t="n"/>
      <c r="N635" s="248" t="n"/>
      <c r="O635" s="248" t="n"/>
      <c r="P635" s="248" t="n"/>
    </row>
    <row r="636" ht="15.75" customHeight="1">
      <c r="K636" s="248" t="n"/>
      <c r="L636" s="248" t="n"/>
      <c r="M636" s="248" t="n"/>
      <c r="N636" s="248" t="n"/>
      <c r="O636" s="248" t="n"/>
      <c r="P636" s="248" t="n"/>
    </row>
    <row r="637" ht="15.75" customHeight="1">
      <c r="K637" s="248" t="n"/>
      <c r="L637" s="248" t="n"/>
      <c r="M637" s="248" t="n"/>
      <c r="N637" s="248" t="n"/>
      <c r="O637" s="248" t="n"/>
      <c r="P637" s="248" t="n"/>
    </row>
    <row r="638" ht="15.75" customHeight="1">
      <c r="K638" s="248" t="n"/>
      <c r="L638" s="248" t="n"/>
      <c r="M638" s="248" t="n"/>
      <c r="N638" s="248" t="n"/>
      <c r="O638" s="248" t="n"/>
      <c r="P638" s="248" t="n"/>
    </row>
    <row r="639" ht="15.75" customHeight="1">
      <c r="K639" s="248" t="n"/>
      <c r="L639" s="248" t="n"/>
      <c r="M639" s="248" t="n"/>
      <c r="N639" s="248" t="n"/>
      <c r="O639" s="248" t="n"/>
      <c r="P639" s="248" t="n"/>
    </row>
    <row r="640" ht="15.75" customHeight="1">
      <c r="K640" s="248" t="n"/>
      <c r="L640" s="248" t="n"/>
      <c r="M640" s="248" t="n"/>
      <c r="N640" s="248" t="n"/>
      <c r="O640" s="248" t="n"/>
      <c r="P640" s="248" t="n"/>
    </row>
    <row r="641" ht="15.75" customHeight="1">
      <c r="K641" s="248" t="n"/>
      <c r="L641" s="248" t="n"/>
      <c r="M641" s="248" t="n"/>
      <c r="N641" s="248" t="n"/>
      <c r="O641" s="248" t="n"/>
      <c r="P641" s="248" t="n"/>
    </row>
    <row r="642" ht="15.75" customHeight="1">
      <c r="K642" s="248" t="n"/>
      <c r="L642" s="248" t="n"/>
      <c r="M642" s="248" t="n"/>
      <c r="N642" s="248" t="n"/>
      <c r="O642" s="248" t="n"/>
      <c r="P642" s="248" t="n"/>
    </row>
    <row r="643" ht="15.75" customHeight="1">
      <c r="K643" s="248" t="n"/>
      <c r="L643" s="248" t="n"/>
      <c r="M643" s="248" t="n"/>
      <c r="N643" s="248" t="n"/>
      <c r="O643" s="248" t="n"/>
      <c r="P643" s="248" t="n"/>
    </row>
    <row r="644" ht="15.75" customHeight="1">
      <c r="K644" s="248" t="n"/>
      <c r="L644" s="248" t="n"/>
      <c r="M644" s="248" t="n"/>
      <c r="N644" s="248" t="n"/>
      <c r="O644" s="248" t="n"/>
      <c r="P644" s="248" t="n"/>
    </row>
    <row r="645" ht="15.75" customHeight="1">
      <c r="K645" s="248" t="n"/>
      <c r="L645" s="248" t="n"/>
      <c r="M645" s="248" t="n"/>
      <c r="N645" s="248" t="n"/>
      <c r="O645" s="248" t="n"/>
      <c r="P645" s="248" t="n"/>
    </row>
    <row r="646" ht="15.75" customHeight="1">
      <c r="K646" s="248" t="n"/>
      <c r="L646" s="248" t="n"/>
      <c r="M646" s="248" t="n"/>
      <c r="N646" s="248" t="n"/>
      <c r="O646" s="248" t="n"/>
      <c r="P646" s="248" t="n"/>
    </row>
    <row r="647" ht="15.75" customHeight="1">
      <c r="K647" s="248" t="n"/>
      <c r="L647" s="248" t="n"/>
      <c r="M647" s="248" t="n"/>
      <c r="N647" s="248" t="n"/>
      <c r="O647" s="248" t="n"/>
      <c r="P647" s="248" t="n"/>
    </row>
    <row r="648" ht="15.75" customHeight="1">
      <c r="K648" s="248" t="n"/>
      <c r="L648" s="248" t="n"/>
      <c r="M648" s="248" t="n"/>
      <c r="N648" s="248" t="n"/>
      <c r="O648" s="248" t="n"/>
      <c r="P648" s="248" t="n"/>
    </row>
    <row r="649" ht="15.75" customHeight="1">
      <c r="K649" s="248" t="n"/>
      <c r="L649" s="248" t="n"/>
      <c r="M649" s="248" t="n"/>
      <c r="N649" s="248" t="n"/>
      <c r="O649" s="248" t="n"/>
      <c r="P649" s="248" t="n"/>
    </row>
    <row r="650" ht="15.75" customHeight="1">
      <c r="K650" s="248" t="n"/>
      <c r="L650" s="248" t="n"/>
      <c r="M650" s="248" t="n"/>
      <c r="N650" s="248" t="n"/>
      <c r="O650" s="248" t="n"/>
      <c r="P650" s="248" t="n"/>
    </row>
    <row r="651" ht="15.75" customHeight="1">
      <c r="K651" s="248" t="n"/>
      <c r="L651" s="248" t="n"/>
      <c r="M651" s="248" t="n"/>
      <c r="N651" s="248" t="n"/>
      <c r="O651" s="248" t="n"/>
      <c r="P651" s="248" t="n"/>
    </row>
    <row r="652" ht="15.75" customHeight="1">
      <c r="K652" s="248" t="n"/>
      <c r="L652" s="248" t="n"/>
      <c r="M652" s="248" t="n"/>
      <c r="N652" s="248" t="n"/>
      <c r="O652" s="248" t="n"/>
      <c r="P652" s="248" t="n"/>
    </row>
    <row r="653" ht="15.75" customHeight="1">
      <c r="K653" s="248" t="n"/>
      <c r="L653" s="248" t="n"/>
      <c r="M653" s="248" t="n"/>
      <c r="N653" s="248" t="n"/>
      <c r="O653" s="248" t="n"/>
      <c r="P653" s="248" t="n"/>
    </row>
    <row r="654" ht="15.75" customHeight="1">
      <c r="K654" s="248" t="n"/>
      <c r="L654" s="248" t="n"/>
      <c r="M654" s="248" t="n"/>
      <c r="N654" s="248" t="n"/>
      <c r="O654" s="248" t="n"/>
      <c r="P654" s="248" t="n"/>
    </row>
    <row r="655" ht="15.75" customHeight="1">
      <c r="K655" s="248" t="n"/>
      <c r="L655" s="248" t="n"/>
      <c r="M655" s="248" t="n"/>
      <c r="N655" s="248" t="n"/>
      <c r="O655" s="248" t="n"/>
      <c r="P655" s="248" t="n"/>
    </row>
    <row r="656" ht="15.75" customHeight="1">
      <c r="K656" s="248" t="n"/>
      <c r="L656" s="248" t="n"/>
      <c r="M656" s="248" t="n"/>
      <c r="N656" s="248" t="n"/>
      <c r="O656" s="248" t="n"/>
      <c r="P656" s="248" t="n"/>
    </row>
    <row r="657" ht="15.75" customHeight="1">
      <c r="K657" s="248" t="n"/>
      <c r="L657" s="248" t="n"/>
      <c r="M657" s="248" t="n"/>
      <c r="N657" s="248" t="n"/>
      <c r="O657" s="248" t="n"/>
      <c r="P657" s="248" t="n"/>
    </row>
    <row r="658" ht="15.75" customHeight="1">
      <c r="K658" s="248" t="n"/>
      <c r="L658" s="248" t="n"/>
      <c r="M658" s="248" t="n"/>
      <c r="N658" s="248" t="n"/>
      <c r="O658" s="248" t="n"/>
      <c r="P658" s="248" t="n"/>
    </row>
    <row r="659" ht="15.75" customHeight="1">
      <c r="K659" s="248" t="n"/>
      <c r="L659" s="248" t="n"/>
      <c r="M659" s="248" t="n"/>
      <c r="N659" s="248" t="n"/>
      <c r="O659" s="248" t="n"/>
      <c r="P659" s="248" t="n"/>
    </row>
    <row r="660" ht="15.75" customHeight="1">
      <c r="K660" s="248" t="n"/>
      <c r="L660" s="248" t="n"/>
      <c r="M660" s="248" t="n"/>
      <c r="N660" s="248" t="n"/>
      <c r="O660" s="248" t="n"/>
      <c r="P660" s="248" t="n"/>
    </row>
    <row r="661" ht="15.75" customHeight="1">
      <c r="K661" s="248" t="n"/>
      <c r="L661" s="248" t="n"/>
      <c r="M661" s="248" t="n"/>
      <c r="N661" s="248" t="n"/>
      <c r="O661" s="248" t="n"/>
      <c r="P661" s="248" t="n"/>
    </row>
    <row r="662" ht="15.75" customHeight="1">
      <c r="K662" s="248" t="n"/>
      <c r="L662" s="248" t="n"/>
      <c r="M662" s="248" t="n"/>
      <c r="N662" s="248" t="n"/>
      <c r="O662" s="248" t="n"/>
      <c r="P662" s="248" t="n"/>
    </row>
    <row r="663" ht="15.75" customHeight="1">
      <c r="K663" s="248" t="n"/>
      <c r="L663" s="248" t="n"/>
      <c r="M663" s="248" t="n"/>
      <c r="N663" s="248" t="n"/>
      <c r="O663" s="248" t="n"/>
      <c r="P663" s="248" t="n"/>
    </row>
    <row r="664" ht="15.75" customHeight="1">
      <c r="K664" s="248" t="n"/>
      <c r="L664" s="248" t="n"/>
      <c r="M664" s="248" t="n"/>
      <c r="N664" s="248" t="n"/>
      <c r="O664" s="248" t="n"/>
      <c r="P664" s="248" t="n"/>
    </row>
    <row r="665" ht="15.75" customHeight="1">
      <c r="K665" s="248" t="n"/>
      <c r="L665" s="248" t="n"/>
      <c r="M665" s="248" t="n"/>
      <c r="N665" s="248" t="n"/>
      <c r="O665" s="248" t="n"/>
      <c r="P665" s="248" t="n"/>
    </row>
    <row r="666" ht="15.75" customHeight="1">
      <c r="K666" s="248" t="n"/>
      <c r="L666" s="248" t="n"/>
      <c r="M666" s="248" t="n"/>
      <c r="N666" s="248" t="n"/>
      <c r="O666" s="248" t="n"/>
      <c r="P666" s="248" t="n"/>
    </row>
    <row r="667" ht="15.75" customHeight="1">
      <c r="K667" s="248" t="n"/>
      <c r="L667" s="248" t="n"/>
      <c r="M667" s="248" t="n"/>
      <c r="N667" s="248" t="n"/>
      <c r="O667" s="248" t="n"/>
      <c r="P667" s="248" t="n"/>
    </row>
    <row r="668" ht="15.75" customHeight="1">
      <c r="K668" s="248" t="n"/>
      <c r="L668" s="248" t="n"/>
      <c r="M668" s="248" t="n"/>
      <c r="N668" s="248" t="n"/>
      <c r="O668" s="248" t="n"/>
      <c r="P668" s="248" t="n"/>
    </row>
    <row r="669" ht="15.75" customHeight="1">
      <c r="K669" s="248" t="n"/>
      <c r="L669" s="248" t="n"/>
      <c r="M669" s="248" t="n"/>
      <c r="N669" s="248" t="n"/>
      <c r="O669" s="248" t="n"/>
      <c r="P669" s="248" t="n"/>
    </row>
    <row r="670" ht="15.75" customHeight="1">
      <c r="K670" s="248" t="n"/>
      <c r="L670" s="248" t="n"/>
      <c r="M670" s="248" t="n"/>
      <c r="N670" s="248" t="n"/>
      <c r="O670" s="248" t="n"/>
      <c r="P670" s="248" t="n"/>
    </row>
    <row r="671" ht="15.75" customHeight="1">
      <c r="K671" s="248" t="n"/>
      <c r="L671" s="248" t="n"/>
      <c r="M671" s="248" t="n"/>
      <c r="N671" s="248" t="n"/>
      <c r="O671" s="248" t="n"/>
      <c r="P671" s="248" t="n"/>
    </row>
    <row r="672" ht="15.75" customHeight="1">
      <c r="K672" s="248" t="n"/>
      <c r="L672" s="248" t="n"/>
      <c r="M672" s="248" t="n"/>
      <c r="N672" s="248" t="n"/>
      <c r="O672" s="248" t="n"/>
      <c r="P672" s="248" t="n"/>
    </row>
    <row r="673" ht="15.75" customHeight="1">
      <c r="K673" s="248" t="n"/>
      <c r="L673" s="248" t="n"/>
      <c r="M673" s="248" t="n"/>
      <c r="N673" s="248" t="n"/>
      <c r="O673" s="248" t="n"/>
      <c r="P673" s="248" t="n"/>
    </row>
    <row r="674" ht="15.75" customHeight="1">
      <c r="K674" s="248" t="n"/>
      <c r="L674" s="248" t="n"/>
      <c r="M674" s="248" t="n"/>
      <c r="N674" s="248" t="n"/>
      <c r="O674" s="248" t="n"/>
      <c r="P674" s="248" t="n"/>
    </row>
    <row r="675" ht="15.75" customHeight="1">
      <c r="K675" s="248" t="n"/>
      <c r="L675" s="248" t="n"/>
      <c r="M675" s="248" t="n"/>
      <c r="N675" s="248" t="n"/>
      <c r="O675" s="248" t="n"/>
      <c r="P675" s="248" t="n"/>
    </row>
    <row r="676" ht="15.75" customHeight="1">
      <c r="K676" s="248" t="n"/>
      <c r="L676" s="248" t="n"/>
      <c r="M676" s="248" t="n"/>
      <c r="N676" s="248" t="n"/>
      <c r="O676" s="248" t="n"/>
      <c r="P676" s="248" t="n"/>
    </row>
    <row r="677" ht="15.75" customHeight="1">
      <c r="K677" s="248" t="n"/>
      <c r="L677" s="248" t="n"/>
      <c r="M677" s="248" t="n"/>
      <c r="N677" s="248" t="n"/>
      <c r="O677" s="248" t="n"/>
      <c r="P677" s="248" t="n"/>
    </row>
    <row r="678" ht="15.75" customHeight="1">
      <c r="K678" s="248" t="n"/>
      <c r="L678" s="248" t="n"/>
      <c r="M678" s="248" t="n"/>
      <c r="N678" s="248" t="n"/>
      <c r="O678" s="248" t="n"/>
      <c r="P678" s="248" t="n"/>
    </row>
    <row r="679" ht="15.75" customHeight="1">
      <c r="K679" s="248" t="n"/>
      <c r="L679" s="248" t="n"/>
      <c r="M679" s="248" t="n"/>
      <c r="N679" s="248" t="n"/>
      <c r="O679" s="248" t="n"/>
      <c r="P679" s="248" t="n"/>
    </row>
    <row r="680" ht="15.75" customHeight="1">
      <c r="K680" s="248" t="n"/>
      <c r="L680" s="248" t="n"/>
      <c r="M680" s="248" t="n"/>
      <c r="N680" s="248" t="n"/>
      <c r="O680" s="248" t="n"/>
      <c r="P680" s="248" t="n"/>
    </row>
    <row r="681" ht="15.75" customHeight="1">
      <c r="K681" s="248" t="n"/>
      <c r="L681" s="248" t="n"/>
      <c r="M681" s="248" t="n"/>
      <c r="N681" s="248" t="n"/>
      <c r="O681" s="248" t="n"/>
      <c r="P681" s="248" t="n"/>
    </row>
    <row r="682" ht="15.75" customHeight="1">
      <c r="K682" s="248" t="n"/>
      <c r="L682" s="248" t="n"/>
      <c r="M682" s="248" t="n"/>
      <c r="N682" s="248" t="n"/>
      <c r="O682" s="248" t="n"/>
      <c r="P682" s="248" t="n"/>
    </row>
    <row r="683" ht="15.75" customHeight="1">
      <c r="K683" s="248" t="n"/>
      <c r="L683" s="248" t="n"/>
      <c r="M683" s="248" t="n"/>
      <c r="N683" s="248" t="n"/>
      <c r="O683" s="248" t="n"/>
      <c r="P683" s="248" t="n"/>
    </row>
    <row r="684" ht="15.75" customHeight="1">
      <c r="K684" s="248" t="n"/>
      <c r="L684" s="248" t="n"/>
      <c r="M684" s="248" t="n"/>
      <c r="N684" s="248" t="n"/>
      <c r="O684" s="248" t="n"/>
      <c r="P684" s="248" t="n"/>
    </row>
    <row r="685" ht="15.75" customHeight="1">
      <c r="K685" s="248" t="n"/>
      <c r="L685" s="248" t="n"/>
      <c r="M685" s="248" t="n"/>
      <c r="N685" s="248" t="n"/>
      <c r="O685" s="248" t="n"/>
      <c r="P685" s="248" t="n"/>
    </row>
    <row r="686" ht="15.75" customHeight="1">
      <c r="K686" s="248" t="n"/>
      <c r="L686" s="248" t="n"/>
      <c r="M686" s="248" t="n"/>
      <c r="N686" s="248" t="n"/>
      <c r="O686" s="248" t="n"/>
      <c r="P686" s="248" t="n"/>
    </row>
    <row r="687" ht="15.75" customHeight="1">
      <c r="K687" s="248" t="n"/>
      <c r="L687" s="248" t="n"/>
      <c r="M687" s="248" t="n"/>
      <c r="N687" s="248" t="n"/>
      <c r="O687" s="248" t="n"/>
      <c r="P687" s="248" t="n"/>
    </row>
    <row r="688" ht="15.75" customHeight="1">
      <c r="K688" s="248" t="n"/>
      <c r="L688" s="248" t="n"/>
      <c r="M688" s="248" t="n"/>
      <c r="N688" s="248" t="n"/>
      <c r="O688" s="248" t="n"/>
      <c r="P688" s="248" t="n"/>
    </row>
    <row r="689" ht="15.75" customHeight="1">
      <c r="K689" s="248" t="n"/>
      <c r="L689" s="248" t="n"/>
      <c r="M689" s="248" t="n"/>
      <c r="N689" s="248" t="n"/>
      <c r="O689" s="248" t="n"/>
      <c r="P689" s="248" t="n"/>
    </row>
    <row r="690" ht="15.75" customHeight="1">
      <c r="K690" s="248" t="n"/>
      <c r="L690" s="248" t="n"/>
      <c r="M690" s="248" t="n"/>
      <c r="N690" s="248" t="n"/>
      <c r="O690" s="248" t="n"/>
      <c r="P690" s="248" t="n"/>
    </row>
    <row r="691" ht="15.75" customHeight="1">
      <c r="K691" s="248" t="n"/>
      <c r="L691" s="248" t="n"/>
      <c r="M691" s="248" t="n"/>
      <c r="N691" s="248" t="n"/>
      <c r="O691" s="248" t="n"/>
      <c r="P691" s="248" t="n"/>
    </row>
    <row r="692" ht="15.75" customHeight="1">
      <c r="K692" s="248" t="n"/>
      <c r="L692" s="248" t="n"/>
      <c r="M692" s="248" t="n"/>
      <c r="N692" s="248" t="n"/>
      <c r="O692" s="248" t="n"/>
      <c r="P692" s="248" t="n"/>
    </row>
    <row r="693" ht="15.75" customHeight="1">
      <c r="K693" s="248" t="n"/>
      <c r="L693" s="248" t="n"/>
      <c r="M693" s="248" t="n"/>
      <c r="N693" s="248" t="n"/>
      <c r="O693" s="248" t="n"/>
      <c r="P693" s="248" t="n"/>
    </row>
    <row r="694" ht="15.75" customHeight="1">
      <c r="K694" s="248" t="n"/>
      <c r="L694" s="248" t="n"/>
      <c r="M694" s="248" t="n"/>
      <c r="N694" s="248" t="n"/>
      <c r="O694" s="248" t="n"/>
      <c r="P694" s="248" t="n"/>
    </row>
    <row r="695" ht="15.75" customHeight="1">
      <c r="K695" s="248" t="n"/>
      <c r="L695" s="248" t="n"/>
      <c r="M695" s="248" t="n"/>
      <c r="N695" s="248" t="n"/>
      <c r="O695" s="248" t="n"/>
      <c r="P695" s="248" t="n"/>
    </row>
    <row r="696" ht="15.75" customHeight="1">
      <c r="K696" s="248" t="n"/>
      <c r="L696" s="248" t="n"/>
      <c r="M696" s="248" t="n"/>
      <c r="N696" s="248" t="n"/>
      <c r="O696" s="248" t="n"/>
      <c r="P696" s="248" t="n"/>
    </row>
    <row r="697" ht="15.75" customHeight="1">
      <c r="K697" s="248" t="n"/>
      <c r="L697" s="248" t="n"/>
      <c r="M697" s="248" t="n"/>
      <c r="N697" s="248" t="n"/>
      <c r="O697" s="248" t="n"/>
      <c r="P697" s="248" t="n"/>
    </row>
    <row r="698" ht="15.75" customHeight="1">
      <c r="K698" s="248" t="n"/>
      <c r="L698" s="248" t="n"/>
      <c r="M698" s="248" t="n"/>
      <c r="N698" s="248" t="n"/>
      <c r="O698" s="248" t="n"/>
      <c r="P698" s="248" t="n"/>
    </row>
    <row r="699" ht="15.75" customHeight="1">
      <c r="K699" s="248" t="n"/>
      <c r="L699" s="248" t="n"/>
      <c r="M699" s="248" t="n"/>
      <c r="N699" s="248" t="n"/>
      <c r="O699" s="248" t="n"/>
      <c r="P699" s="248" t="n"/>
    </row>
    <row r="700" ht="15.75" customHeight="1">
      <c r="K700" s="248" t="n"/>
      <c r="L700" s="248" t="n"/>
      <c r="M700" s="248" t="n"/>
      <c r="N700" s="248" t="n"/>
      <c r="O700" s="248" t="n"/>
      <c r="P700" s="248" t="n"/>
    </row>
    <row r="701" ht="15.75" customHeight="1">
      <c r="K701" s="248" t="n"/>
      <c r="L701" s="248" t="n"/>
      <c r="M701" s="248" t="n"/>
      <c r="N701" s="248" t="n"/>
      <c r="O701" s="248" t="n"/>
      <c r="P701" s="248" t="n"/>
    </row>
    <row r="702" ht="15.75" customHeight="1">
      <c r="K702" s="248" t="n"/>
      <c r="L702" s="248" t="n"/>
      <c r="M702" s="248" t="n"/>
      <c r="N702" s="248" t="n"/>
      <c r="O702" s="248" t="n"/>
      <c r="P702" s="248" t="n"/>
    </row>
    <row r="703" ht="15.75" customHeight="1">
      <c r="K703" s="248" t="n"/>
      <c r="L703" s="248" t="n"/>
      <c r="M703" s="248" t="n"/>
      <c r="N703" s="248" t="n"/>
      <c r="O703" s="248" t="n"/>
      <c r="P703" s="248" t="n"/>
    </row>
    <row r="704" ht="15.75" customHeight="1">
      <c r="K704" s="248" t="n"/>
      <c r="L704" s="248" t="n"/>
      <c r="M704" s="248" t="n"/>
      <c r="N704" s="248" t="n"/>
      <c r="O704" s="248" t="n"/>
      <c r="P704" s="248" t="n"/>
    </row>
    <row r="705" ht="15.75" customHeight="1">
      <c r="K705" s="248" t="n"/>
      <c r="L705" s="248" t="n"/>
      <c r="M705" s="248" t="n"/>
      <c r="N705" s="248" t="n"/>
      <c r="O705" s="248" t="n"/>
      <c r="P705" s="248" t="n"/>
    </row>
    <row r="706" ht="15.75" customHeight="1">
      <c r="K706" s="248" t="n"/>
      <c r="L706" s="248" t="n"/>
      <c r="M706" s="248" t="n"/>
      <c r="N706" s="248" t="n"/>
      <c r="O706" s="248" t="n"/>
      <c r="P706" s="248" t="n"/>
    </row>
    <row r="707" ht="15.75" customHeight="1">
      <c r="K707" s="248" t="n"/>
      <c r="L707" s="248" t="n"/>
      <c r="M707" s="248" t="n"/>
      <c r="N707" s="248" t="n"/>
      <c r="O707" s="248" t="n"/>
      <c r="P707" s="248" t="n"/>
    </row>
    <row r="708" ht="15.75" customHeight="1">
      <c r="K708" s="248" t="n"/>
      <c r="L708" s="248" t="n"/>
      <c r="M708" s="248" t="n"/>
      <c r="N708" s="248" t="n"/>
      <c r="O708" s="248" t="n"/>
      <c r="P708" s="248" t="n"/>
    </row>
    <row r="709" ht="15.75" customHeight="1">
      <c r="K709" s="248" t="n"/>
      <c r="L709" s="248" t="n"/>
      <c r="M709" s="248" t="n"/>
      <c r="N709" s="248" t="n"/>
      <c r="O709" s="248" t="n"/>
      <c r="P709" s="248" t="n"/>
    </row>
    <row r="710" ht="15.75" customHeight="1">
      <c r="K710" s="248" t="n"/>
      <c r="L710" s="248" t="n"/>
      <c r="M710" s="248" t="n"/>
      <c r="N710" s="248" t="n"/>
      <c r="O710" s="248" t="n"/>
      <c r="P710" s="248" t="n"/>
    </row>
    <row r="711" ht="15.75" customHeight="1">
      <c r="K711" s="248" t="n"/>
      <c r="L711" s="248" t="n"/>
      <c r="M711" s="248" t="n"/>
      <c r="N711" s="248" t="n"/>
      <c r="O711" s="248" t="n"/>
      <c r="P711" s="248" t="n"/>
    </row>
    <row r="712" ht="15.75" customHeight="1">
      <c r="K712" s="248" t="n"/>
      <c r="L712" s="248" t="n"/>
      <c r="M712" s="248" t="n"/>
      <c r="N712" s="248" t="n"/>
      <c r="O712" s="248" t="n"/>
      <c r="P712" s="248" t="n"/>
    </row>
    <row r="713" ht="15.75" customHeight="1">
      <c r="K713" s="248" t="n"/>
      <c r="L713" s="248" t="n"/>
      <c r="M713" s="248" t="n"/>
      <c r="N713" s="248" t="n"/>
      <c r="O713" s="248" t="n"/>
      <c r="P713" s="248" t="n"/>
    </row>
    <row r="714" ht="15.75" customHeight="1">
      <c r="K714" s="248" t="n"/>
      <c r="L714" s="248" t="n"/>
      <c r="M714" s="248" t="n"/>
      <c r="N714" s="248" t="n"/>
      <c r="O714" s="248" t="n"/>
      <c r="P714" s="248" t="n"/>
    </row>
    <row r="715" ht="15.75" customHeight="1">
      <c r="K715" s="248" t="n"/>
      <c r="L715" s="248" t="n"/>
      <c r="M715" s="248" t="n"/>
      <c r="N715" s="248" t="n"/>
      <c r="O715" s="248" t="n"/>
      <c r="P715" s="248" t="n"/>
    </row>
    <row r="716" ht="15.75" customHeight="1">
      <c r="K716" s="248" t="n"/>
      <c r="L716" s="248" t="n"/>
      <c r="M716" s="248" t="n"/>
      <c r="N716" s="248" t="n"/>
      <c r="O716" s="248" t="n"/>
      <c r="P716" s="248" t="n"/>
    </row>
    <row r="717" ht="15.75" customHeight="1">
      <c r="K717" s="248" t="n"/>
      <c r="L717" s="248" t="n"/>
      <c r="M717" s="248" t="n"/>
      <c r="N717" s="248" t="n"/>
      <c r="O717" s="248" t="n"/>
      <c r="P717" s="248" t="n"/>
    </row>
    <row r="718" ht="15.75" customHeight="1">
      <c r="K718" s="248" t="n"/>
      <c r="L718" s="248" t="n"/>
      <c r="M718" s="248" t="n"/>
      <c r="N718" s="248" t="n"/>
      <c r="O718" s="248" t="n"/>
      <c r="P718" s="248" t="n"/>
    </row>
    <row r="719" ht="15.75" customHeight="1">
      <c r="K719" s="248" t="n"/>
      <c r="L719" s="248" t="n"/>
      <c r="M719" s="248" t="n"/>
      <c r="N719" s="248" t="n"/>
      <c r="O719" s="248" t="n"/>
      <c r="P719" s="248" t="n"/>
    </row>
    <row r="720" ht="15.75" customHeight="1">
      <c r="K720" s="248" t="n"/>
      <c r="L720" s="248" t="n"/>
      <c r="M720" s="248" t="n"/>
      <c r="N720" s="248" t="n"/>
      <c r="O720" s="248" t="n"/>
      <c r="P720" s="248" t="n"/>
    </row>
    <row r="721" ht="15.75" customHeight="1">
      <c r="K721" s="248" t="n"/>
      <c r="L721" s="248" t="n"/>
      <c r="M721" s="248" t="n"/>
      <c r="N721" s="248" t="n"/>
      <c r="O721" s="248" t="n"/>
      <c r="P721" s="248" t="n"/>
    </row>
    <row r="722" ht="15.75" customHeight="1">
      <c r="K722" s="248" t="n"/>
      <c r="L722" s="248" t="n"/>
      <c r="M722" s="248" t="n"/>
      <c r="N722" s="248" t="n"/>
      <c r="O722" s="248" t="n"/>
      <c r="P722" s="248" t="n"/>
    </row>
    <row r="723" ht="15.75" customHeight="1">
      <c r="K723" s="248" t="n"/>
      <c r="L723" s="248" t="n"/>
      <c r="M723" s="248" t="n"/>
      <c r="N723" s="248" t="n"/>
      <c r="O723" s="248" t="n"/>
      <c r="P723" s="248" t="n"/>
    </row>
    <row r="724" ht="15.75" customHeight="1">
      <c r="K724" s="248" t="n"/>
      <c r="L724" s="248" t="n"/>
      <c r="M724" s="248" t="n"/>
      <c r="N724" s="248" t="n"/>
      <c r="O724" s="248" t="n"/>
      <c r="P724" s="248" t="n"/>
    </row>
    <row r="725" ht="15.75" customHeight="1">
      <c r="K725" s="248" t="n"/>
      <c r="L725" s="248" t="n"/>
      <c r="M725" s="248" t="n"/>
      <c r="N725" s="248" t="n"/>
      <c r="O725" s="248" t="n"/>
      <c r="P725" s="248" t="n"/>
    </row>
    <row r="726" ht="15.75" customHeight="1">
      <c r="K726" s="248" t="n"/>
      <c r="L726" s="248" t="n"/>
      <c r="M726" s="248" t="n"/>
      <c r="N726" s="248" t="n"/>
      <c r="O726" s="248" t="n"/>
      <c r="P726" s="248" t="n"/>
    </row>
    <row r="727" ht="15.75" customHeight="1">
      <c r="K727" s="248" t="n"/>
      <c r="L727" s="248" t="n"/>
      <c r="M727" s="248" t="n"/>
      <c r="N727" s="248" t="n"/>
      <c r="O727" s="248" t="n"/>
      <c r="P727" s="248" t="n"/>
    </row>
    <row r="728" ht="15.75" customHeight="1">
      <c r="K728" s="248" t="n"/>
      <c r="L728" s="248" t="n"/>
      <c r="M728" s="248" t="n"/>
      <c r="N728" s="248" t="n"/>
      <c r="O728" s="248" t="n"/>
      <c r="P728" s="248" t="n"/>
    </row>
    <row r="729" ht="15.75" customHeight="1">
      <c r="K729" s="248" t="n"/>
      <c r="L729" s="248" t="n"/>
      <c r="M729" s="248" t="n"/>
      <c r="N729" s="248" t="n"/>
      <c r="O729" s="248" t="n"/>
      <c r="P729" s="248" t="n"/>
    </row>
    <row r="730" ht="15.75" customHeight="1">
      <c r="K730" s="248" t="n"/>
      <c r="L730" s="248" t="n"/>
      <c r="M730" s="248" t="n"/>
      <c r="N730" s="248" t="n"/>
      <c r="O730" s="248" t="n"/>
      <c r="P730" s="248" t="n"/>
    </row>
    <row r="731" ht="15.75" customHeight="1">
      <c r="K731" s="248" t="n"/>
      <c r="L731" s="248" t="n"/>
      <c r="M731" s="248" t="n"/>
      <c r="N731" s="248" t="n"/>
      <c r="O731" s="248" t="n"/>
      <c r="P731" s="248" t="n"/>
    </row>
    <row r="732" ht="15.75" customHeight="1">
      <c r="K732" s="248" t="n"/>
      <c r="L732" s="248" t="n"/>
      <c r="M732" s="248" t="n"/>
      <c r="N732" s="248" t="n"/>
      <c r="O732" s="248" t="n"/>
      <c r="P732" s="248" t="n"/>
    </row>
    <row r="733" ht="15.75" customHeight="1">
      <c r="K733" s="248" t="n"/>
      <c r="L733" s="248" t="n"/>
      <c r="M733" s="248" t="n"/>
      <c r="N733" s="248" t="n"/>
      <c r="O733" s="248" t="n"/>
      <c r="P733" s="248" t="n"/>
    </row>
    <row r="734" ht="15.75" customHeight="1">
      <c r="K734" s="248" t="n"/>
      <c r="L734" s="248" t="n"/>
      <c r="M734" s="248" t="n"/>
      <c r="N734" s="248" t="n"/>
      <c r="O734" s="248" t="n"/>
      <c r="P734" s="248" t="n"/>
    </row>
    <row r="735" ht="15.75" customHeight="1">
      <c r="K735" s="248" t="n"/>
      <c r="L735" s="248" t="n"/>
      <c r="M735" s="248" t="n"/>
      <c r="N735" s="248" t="n"/>
      <c r="O735" s="248" t="n"/>
      <c r="P735" s="248" t="n"/>
    </row>
    <row r="736" ht="15.75" customHeight="1">
      <c r="K736" s="248" t="n"/>
      <c r="L736" s="248" t="n"/>
      <c r="M736" s="248" t="n"/>
      <c r="N736" s="248" t="n"/>
      <c r="O736" s="248" t="n"/>
      <c r="P736" s="248" t="n"/>
    </row>
    <row r="737" ht="15.75" customHeight="1">
      <c r="K737" s="248" t="n"/>
      <c r="L737" s="248" t="n"/>
      <c r="M737" s="248" t="n"/>
      <c r="N737" s="248" t="n"/>
      <c r="O737" s="248" t="n"/>
      <c r="P737" s="248" t="n"/>
    </row>
    <row r="738" ht="15.75" customHeight="1">
      <c r="K738" s="248" t="n"/>
      <c r="L738" s="248" t="n"/>
      <c r="M738" s="248" t="n"/>
      <c r="N738" s="248" t="n"/>
      <c r="O738" s="248" t="n"/>
      <c r="P738" s="248" t="n"/>
    </row>
    <row r="739" ht="15.75" customHeight="1">
      <c r="K739" s="248" t="n"/>
      <c r="L739" s="248" t="n"/>
      <c r="M739" s="248" t="n"/>
      <c r="N739" s="248" t="n"/>
      <c r="O739" s="248" t="n"/>
      <c r="P739" s="248" t="n"/>
    </row>
    <row r="740" ht="15.75" customHeight="1">
      <c r="K740" s="248" t="n"/>
      <c r="L740" s="248" t="n"/>
      <c r="M740" s="248" t="n"/>
      <c r="N740" s="248" t="n"/>
      <c r="O740" s="248" t="n"/>
      <c r="P740" s="248" t="n"/>
    </row>
    <row r="741" ht="15.75" customHeight="1">
      <c r="K741" s="248" t="n"/>
      <c r="L741" s="248" t="n"/>
      <c r="M741" s="248" t="n"/>
      <c r="N741" s="248" t="n"/>
      <c r="O741" s="248" t="n"/>
      <c r="P741" s="248" t="n"/>
    </row>
    <row r="742" ht="15.75" customHeight="1">
      <c r="K742" s="248" t="n"/>
      <c r="L742" s="248" t="n"/>
      <c r="M742" s="248" t="n"/>
      <c r="N742" s="248" t="n"/>
      <c r="O742" s="248" t="n"/>
      <c r="P742" s="248" t="n"/>
    </row>
    <row r="743" ht="15.75" customHeight="1">
      <c r="K743" s="248" t="n"/>
      <c r="L743" s="248" t="n"/>
      <c r="M743" s="248" t="n"/>
      <c r="N743" s="248" t="n"/>
      <c r="O743" s="248" t="n"/>
      <c r="P743" s="248" t="n"/>
    </row>
    <row r="744" ht="15.75" customHeight="1">
      <c r="K744" s="248" t="n"/>
      <c r="L744" s="248" t="n"/>
      <c r="M744" s="248" t="n"/>
      <c r="N744" s="248" t="n"/>
      <c r="O744" s="248" t="n"/>
      <c r="P744" s="248" t="n"/>
    </row>
    <row r="745" ht="15.75" customHeight="1">
      <c r="K745" s="248" t="n"/>
      <c r="L745" s="248" t="n"/>
      <c r="M745" s="248" t="n"/>
      <c r="N745" s="248" t="n"/>
      <c r="O745" s="248" t="n"/>
      <c r="P745" s="248" t="n"/>
    </row>
    <row r="746" ht="15.75" customHeight="1">
      <c r="K746" s="248" t="n"/>
      <c r="L746" s="248" t="n"/>
      <c r="M746" s="248" t="n"/>
      <c r="N746" s="248" t="n"/>
      <c r="O746" s="248" t="n"/>
      <c r="P746" s="248" t="n"/>
    </row>
    <row r="747" ht="15.75" customHeight="1">
      <c r="K747" s="248" t="n"/>
      <c r="L747" s="248" t="n"/>
      <c r="M747" s="248" t="n"/>
      <c r="N747" s="248" t="n"/>
      <c r="O747" s="248" t="n"/>
      <c r="P747" s="248" t="n"/>
    </row>
    <row r="748" ht="15.75" customHeight="1">
      <c r="K748" s="248" t="n"/>
      <c r="L748" s="248" t="n"/>
      <c r="M748" s="248" t="n"/>
      <c r="N748" s="248" t="n"/>
      <c r="O748" s="248" t="n"/>
      <c r="P748" s="248" t="n"/>
    </row>
    <row r="749" ht="15.75" customHeight="1">
      <c r="K749" s="248" t="n"/>
      <c r="L749" s="248" t="n"/>
      <c r="M749" s="248" t="n"/>
      <c r="N749" s="248" t="n"/>
      <c r="O749" s="248" t="n"/>
      <c r="P749" s="248" t="n"/>
    </row>
    <row r="750" ht="15.75" customHeight="1">
      <c r="K750" s="248" t="n"/>
      <c r="L750" s="248" t="n"/>
      <c r="M750" s="248" t="n"/>
      <c r="N750" s="248" t="n"/>
      <c r="O750" s="248" t="n"/>
      <c r="P750" s="248" t="n"/>
    </row>
    <row r="751" ht="15.75" customHeight="1">
      <c r="K751" s="248" t="n"/>
      <c r="L751" s="248" t="n"/>
      <c r="M751" s="248" t="n"/>
      <c r="N751" s="248" t="n"/>
      <c r="O751" s="248" t="n"/>
      <c r="P751" s="248" t="n"/>
    </row>
    <row r="752" ht="15.75" customHeight="1">
      <c r="K752" s="248" t="n"/>
      <c r="L752" s="248" t="n"/>
      <c r="M752" s="248" t="n"/>
      <c r="N752" s="248" t="n"/>
      <c r="O752" s="248" t="n"/>
      <c r="P752" s="248" t="n"/>
    </row>
    <row r="753" ht="15.75" customHeight="1">
      <c r="K753" s="248" t="n"/>
      <c r="L753" s="248" t="n"/>
      <c r="M753" s="248" t="n"/>
      <c r="N753" s="248" t="n"/>
      <c r="O753" s="248" t="n"/>
      <c r="P753" s="248" t="n"/>
    </row>
    <row r="754" ht="15.75" customHeight="1">
      <c r="K754" s="248" t="n"/>
      <c r="L754" s="248" t="n"/>
      <c r="M754" s="248" t="n"/>
      <c r="N754" s="248" t="n"/>
      <c r="O754" s="248" t="n"/>
      <c r="P754" s="248" t="n"/>
    </row>
    <row r="755" ht="15.75" customHeight="1">
      <c r="K755" s="248" t="n"/>
      <c r="L755" s="248" t="n"/>
      <c r="M755" s="248" t="n"/>
      <c r="N755" s="248" t="n"/>
      <c r="O755" s="248" t="n"/>
      <c r="P755" s="248" t="n"/>
    </row>
    <row r="756" ht="15.75" customHeight="1">
      <c r="K756" s="248" t="n"/>
      <c r="L756" s="248" t="n"/>
      <c r="M756" s="248" t="n"/>
      <c r="N756" s="248" t="n"/>
      <c r="O756" s="248" t="n"/>
      <c r="P756" s="248" t="n"/>
    </row>
    <row r="757" ht="15.75" customHeight="1">
      <c r="K757" s="248" t="n"/>
      <c r="L757" s="248" t="n"/>
      <c r="M757" s="248" t="n"/>
      <c r="N757" s="248" t="n"/>
      <c r="O757" s="248" t="n"/>
      <c r="P757" s="248" t="n"/>
    </row>
    <row r="758" ht="15.75" customHeight="1">
      <c r="K758" s="248" t="n"/>
      <c r="L758" s="248" t="n"/>
      <c r="M758" s="248" t="n"/>
      <c r="N758" s="248" t="n"/>
      <c r="O758" s="248" t="n"/>
      <c r="P758" s="248" t="n"/>
    </row>
    <row r="759" ht="15.75" customHeight="1">
      <c r="K759" s="248" t="n"/>
      <c r="L759" s="248" t="n"/>
      <c r="M759" s="248" t="n"/>
      <c r="N759" s="248" t="n"/>
      <c r="O759" s="248" t="n"/>
      <c r="P759" s="248" t="n"/>
    </row>
    <row r="760" ht="15.75" customHeight="1">
      <c r="K760" s="248" t="n"/>
      <c r="L760" s="248" t="n"/>
      <c r="M760" s="248" t="n"/>
      <c r="N760" s="248" t="n"/>
      <c r="O760" s="248" t="n"/>
      <c r="P760" s="248" t="n"/>
    </row>
    <row r="761" ht="15.75" customHeight="1">
      <c r="K761" s="248" t="n"/>
      <c r="L761" s="248" t="n"/>
      <c r="M761" s="248" t="n"/>
      <c r="N761" s="248" t="n"/>
      <c r="O761" s="248" t="n"/>
      <c r="P761" s="248" t="n"/>
    </row>
    <row r="762" ht="15.75" customHeight="1">
      <c r="K762" s="248" t="n"/>
      <c r="L762" s="248" t="n"/>
      <c r="M762" s="248" t="n"/>
      <c r="N762" s="248" t="n"/>
      <c r="O762" s="248" t="n"/>
      <c r="P762" s="248" t="n"/>
    </row>
    <row r="763" ht="15.75" customHeight="1">
      <c r="K763" s="248" t="n"/>
      <c r="L763" s="248" t="n"/>
      <c r="M763" s="248" t="n"/>
      <c r="N763" s="248" t="n"/>
      <c r="O763" s="248" t="n"/>
      <c r="P763" s="248" t="n"/>
    </row>
    <row r="764" ht="15.75" customHeight="1">
      <c r="K764" s="248" t="n"/>
      <c r="L764" s="248" t="n"/>
      <c r="M764" s="248" t="n"/>
      <c r="N764" s="248" t="n"/>
      <c r="O764" s="248" t="n"/>
      <c r="P764" s="248" t="n"/>
    </row>
    <row r="765" ht="15.75" customHeight="1">
      <c r="K765" s="248" t="n"/>
      <c r="L765" s="248" t="n"/>
      <c r="M765" s="248" t="n"/>
      <c r="N765" s="248" t="n"/>
      <c r="O765" s="248" t="n"/>
      <c r="P765" s="248" t="n"/>
    </row>
    <row r="766" ht="15.75" customHeight="1">
      <c r="K766" s="248" t="n"/>
      <c r="L766" s="248" t="n"/>
      <c r="M766" s="248" t="n"/>
      <c r="N766" s="248" t="n"/>
      <c r="O766" s="248" t="n"/>
      <c r="P766" s="248" t="n"/>
    </row>
    <row r="767" ht="15.75" customHeight="1">
      <c r="K767" s="248" t="n"/>
      <c r="L767" s="248" t="n"/>
      <c r="M767" s="248" t="n"/>
      <c r="N767" s="248" t="n"/>
      <c r="O767" s="248" t="n"/>
      <c r="P767" s="248" t="n"/>
    </row>
    <row r="768" ht="15.75" customHeight="1">
      <c r="K768" s="248" t="n"/>
      <c r="L768" s="248" t="n"/>
      <c r="M768" s="248" t="n"/>
      <c r="N768" s="248" t="n"/>
      <c r="O768" s="248" t="n"/>
      <c r="P768" s="248" t="n"/>
    </row>
    <row r="769" ht="15.75" customHeight="1">
      <c r="K769" s="248" t="n"/>
      <c r="L769" s="248" t="n"/>
      <c r="M769" s="248" t="n"/>
      <c r="N769" s="248" t="n"/>
      <c r="O769" s="248" t="n"/>
      <c r="P769" s="248" t="n"/>
    </row>
    <row r="770" ht="15.75" customHeight="1">
      <c r="K770" s="248" t="n"/>
      <c r="L770" s="248" t="n"/>
      <c r="M770" s="248" t="n"/>
      <c r="N770" s="248" t="n"/>
      <c r="O770" s="248" t="n"/>
      <c r="P770" s="248" t="n"/>
    </row>
    <row r="771" ht="15.75" customHeight="1">
      <c r="K771" s="248" t="n"/>
      <c r="L771" s="248" t="n"/>
      <c r="M771" s="248" t="n"/>
      <c r="N771" s="248" t="n"/>
      <c r="O771" s="248" t="n"/>
      <c r="P771" s="248" t="n"/>
    </row>
    <row r="772" ht="15.75" customHeight="1">
      <c r="K772" s="248" t="n"/>
      <c r="L772" s="248" t="n"/>
      <c r="M772" s="248" t="n"/>
      <c r="N772" s="248" t="n"/>
      <c r="O772" s="248" t="n"/>
      <c r="P772" s="248" t="n"/>
    </row>
    <row r="773" ht="15.75" customHeight="1">
      <c r="K773" s="248" t="n"/>
      <c r="L773" s="248" t="n"/>
      <c r="M773" s="248" t="n"/>
      <c r="N773" s="248" t="n"/>
      <c r="O773" s="248" t="n"/>
      <c r="P773" s="248" t="n"/>
    </row>
    <row r="774" ht="15.75" customHeight="1">
      <c r="K774" s="248" t="n"/>
      <c r="L774" s="248" t="n"/>
      <c r="M774" s="248" t="n"/>
      <c r="N774" s="248" t="n"/>
      <c r="O774" s="248" t="n"/>
      <c r="P774" s="248" t="n"/>
    </row>
    <row r="775" ht="15.75" customHeight="1">
      <c r="K775" s="248" t="n"/>
      <c r="L775" s="248" t="n"/>
      <c r="M775" s="248" t="n"/>
      <c r="N775" s="248" t="n"/>
      <c r="O775" s="248" t="n"/>
      <c r="P775" s="248" t="n"/>
    </row>
    <row r="776" ht="15.75" customHeight="1">
      <c r="K776" s="248" t="n"/>
      <c r="L776" s="248" t="n"/>
      <c r="M776" s="248" t="n"/>
      <c r="N776" s="248" t="n"/>
      <c r="O776" s="248" t="n"/>
      <c r="P776" s="248" t="n"/>
    </row>
    <row r="777" ht="15.75" customHeight="1">
      <c r="K777" s="248" t="n"/>
      <c r="L777" s="248" t="n"/>
      <c r="M777" s="248" t="n"/>
      <c r="N777" s="248" t="n"/>
      <c r="O777" s="248" t="n"/>
      <c r="P777" s="248" t="n"/>
    </row>
    <row r="778" ht="15.75" customHeight="1">
      <c r="K778" s="248" t="n"/>
      <c r="L778" s="248" t="n"/>
      <c r="M778" s="248" t="n"/>
      <c r="N778" s="248" t="n"/>
      <c r="O778" s="248" t="n"/>
      <c r="P778" s="248" t="n"/>
    </row>
    <row r="779" ht="15.75" customHeight="1">
      <c r="K779" s="248" t="n"/>
      <c r="L779" s="248" t="n"/>
      <c r="M779" s="248" t="n"/>
      <c r="N779" s="248" t="n"/>
      <c r="O779" s="248" t="n"/>
      <c r="P779" s="248" t="n"/>
    </row>
    <row r="780" ht="15.75" customHeight="1">
      <c r="K780" s="248" t="n"/>
      <c r="L780" s="248" t="n"/>
      <c r="M780" s="248" t="n"/>
      <c r="N780" s="248" t="n"/>
      <c r="O780" s="248" t="n"/>
      <c r="P780" s="248" t="n"/>
    </row>
    <row r="781" ht="15.75" customHeight="1">
      <c r="K781" s="248" t="n"/>
      <c r="L781" s="248" t="n"/>
      <c r="M781" s="248" t="n"/>
      <c r="N781" s="248" t="n"/>
      <c r="O781" s="248" t="n"/>
      <c r="P781" s="248" t="n"/>
    </row>
    <row r="782" ht="15.75" customHeight="1">
      <c r="K782" s="248" t="n"/>
      <c r="L782" s="248" t="n"/>
      <c r="M782" s="248" t="n"/>
      <c r="N782" s="248" t="n"/>
      <c r="O782" s="248" t="n"/>
      <c r="P782" s="248" t="n"/>
    </row>
    <row r="783" ht="15.75" customHeight="1">
      <c r="K783" s="248" t="n"/>
      <c r="L783" s="248" t="n"/>
      <c r="M783" s="248" t="n"/>
      <c r="N783" s="248" t="n"/>
      <c r="O783" s="248" t="n"/>
      <c r="P783" s="248" t="n"/>
    </row>
    <row r="784" ht="15.75" customHeight="1">
      <c r="K784" s="248" t="n"/>
      <c r="L784" s="248" t="n"/>
      <c r="M784" s="248" t="n"/>
      <c r="N784" s="248" t="n"/>
      <c r="O784" s="248" t="n"/>
      <c r="P784" s="248" t="n"/>
    </row>
    <row r="785" ht="15.75" customHeight="1">
      <c r="K785" s="248" t="n"/>
      <c r="L785" s="248" t="n"/>
      <c r="M785" s="248" t="n"/>
      <c r="N785" s="248" t="n"/>
      <c r="O785" s="248" t="n"/>
      <c r="P785" s="248" t="n"/>
    </row>
    <row r="786" ht="15.75" customHeight="1">
      <c r="K786" s="248" t="n"/>
      <c r="L786" s="248" t="n"/>
      <c r="M786" s="248" t="n"/>
      <c r="N786" s="248" t="n"/>
      <c r="O786" s="248" t="n"/>
      <c r="P786" s="248" t="n"/>
    </row>
    <row r="787" ht="15.75" customHeight="1">
      <c r="K787" s="248" t="n"/>
      <c r="L787" s="248" t="n"/>
      <c r="M787" s="248" t="n"/>
      <c r="N787" s="248" t="n"/>
      <c r="O787" s="248" t="n"/>
      <c r="P787" s="248" t="n"/>
    </row>
    <row r="788" ht="15.75" customHeight="1">
      <c r="K788" s="248" t="n"/>
      <c r="L788" s="248" t="n"/>
      <c r="M788" s="248" t="n"/>
      <c r="N788" s="248" t="n"/>
      <c r="O788" s="248" t="n"/>
      <c r="P788" s="248" t="n"/>
    </row>
    <row r="789" ht="15.75" customHeight="1">
      <c r="K789" s="248" t="n"/>
      <c r="L789" s="248" t="n"/>
      <c r="M789" s="248" t="n"/>
      <c r="N789" s="248" t="n"/>
      <c r="O789" s="248" t="n"/>
      <c r="P789" s="248" t="n"/>
    </row>
    <row r="790" ht="15.75" customHeight="1">
      <c r="K790" s="248" t="n"/>
      <c r="L790" s="248" t="n"/>
      <c r="M790" s="248" t="n"/>
      <c r="N790" s="248" t="n"/>
      <c r="O790" s="248" t="n"/>
      <c r="P790" s="248" t="n"/>
    </row>
    <row r="791" ht="15.75" customHeight="1">
      <c r="K791" s="248" t="n"/>
      <c r="L791" s="248" t="n"/>
      <c r="M791" s="248" t="n"/>
      <c r="N791" s="248" t="n"/>
      <c r="O791" s="248" t="n"/>
      <c r="P791" s="248" t="n"/>
    </row>
    <row r="792" ht="15.75" customHeight="1">
      <c r="K792" s="248" t="n"/>
      <c r="L792" s="248" t="n"/>
      <c r="M792" s="248" t="n"/>
      <c r="N792" s="248" t="n"/>
      <c r="O792" s="248" t="n"/>
      <c r="P792" s="248" t="n"/>
    </row>
    <row r="793" ht="15.75" customHeight="1">
      <c r="K793" s="248" t="n"/>
      <c r="L793" s="248" t="n"/>
      <c r="M793" s="248" t="n"/>
      <c r="N793" s="248" t="n"/>
      <c r="O793" s="248" t="n"/>
      <c r="P793" s="248" t="n"/>
    </row>
    <row r="794" ht="15.75" customHeight="1">
      <c r="K794" s="248" t="n"/>
      <c r="L794" s="248" t="n"/>
      <c r="M794" s="248" t="n"/>
      <c r="N794" s="248" t="n"/>
      <c r="O794" s="248" t="n"/>
      <c r="P794" s="248" t="n"/>
    </row>
    <row r="795" ht="15.75" customHeight="1">
      <c r="K795" s="248" t="n"/>
      <c r="L795" s="248" t="n"/>
      <c r="M795" s="248" t="n"/>
      <c r="N795" s="248" t="n"/>
      <c r="O795" s="248" t="n"/>
      <c r="P795" s="248" t="n"/>
    </row>
    <row r="796" ht="15.75" customHeight="1">
      <c r="K796" s="248" t="n"/>
      <c r="L796" s="248" t="n"/>
      <c r="M796" s="248" t="n"/>
      <c r="N796" s="248" t="n"/>
      <c r="O796" s="248" t="n"/>
      <c r="P796" s="248" t="n"/>
    </row>
    <row r="797" ht="15.75" customHeight="1">
      <c r="K797" s="248" t="n"/>
      <c r="L797" s="248" t="n"/>
      <c r="M797" s="248" t="n"/>
      <c r="N797" s="248" t="n"/>
      <c r="O797" s="248" t="n"/>
      <c r="P797" s="248" t="n"/>
    </row>
    <row r="798" ht="15.75" customHeight="1">
      <c r="K798" s="248" t="n"/>
      <c r="L798" s="248" t="n"/>
      <c r="M798" s="248" t="n"/>
      <c r="N798" s="248" t="n"/>
      <c r="O798" s="248" t="n"/>
      <c r="P798" s="248" t="n"/>
    </row>
    <row r="799" ht="15.75" customHeight="1">
      <c r="K799" s="248" t="n"/>
      <c r="L799" s="248" t="n"/>
      <c r="M799" s="248" t="n"/>
      <c r="N799" s="248" t="n"/>
      <c r="O799" s="248" t="n"/>
      <c r="P799" s="248" t="n"/>
    </row>
    <row r="800" ht="15.75" customHeight="1">
      <c r="K800" s="248" t="n"/>
      <c r="L800" s="248" t="n"/>
      <c r="M800" s="248" t="n"/>
      <c r="N800" s="248" t="n"/>
      <c r="O800" s="248" t="n"/>
      <c r="P800" s="248" t="n"/>
    </row>
    <row r="801" ht="15.75" customHeight="1">
      <c r="K801" s="248" t="n"/>
      <c r="L801" s="248" t="n"/>
      <c r="M801" s="248" t="n"/>
      <c r="N801" s="248" t="n"/>
      <c r="O801" s="248" t="n"/>
      <c r="P801" s="248" t="n"/>
    </row>
    <row r="802" ht="15.75" customHeight="1">
      <c r="K802" s="248" t="n"/>
      <c r="L802" s="248" t="n"/>
      <c r="M802" s="248" t="n"/>
      <c r="N802" s="248" t="n"/>
      <c r="O802" s="248" t="n"/>
      <c r="P802" s="248" t="n"/>
    </row>
    <row r="803" ht="15.75" customHeight="1">
      <c r="K803" s="248" t="n"/>
      <c r="L803" s="248" t="n"/>
      <c r="M803" s="248" t="n"/>
      <c r="N803" s="248" t="n"/>
      <c r="O803" s="248" t="n"/>
      <c r="P803" s="248" t="n"/>
    </row>
    <row r="804" ht="15.75" customHeight="1">
      <c r="K804" s="248" t="n"/>
      <c r="L804" s="248" t="n"/>
      <c r="M804" s="248" t="n"/>
      <c r="N804" s="248" t="n"/>
      <c r="O804" s="248" t="n"/>
      <c r="P804" s="248" t="n"/>
    </row>
    <row r="805" ht="15.75" customHeight="1">
      <c r="K805" s="248" t="n"/>
      <c r="L805" s="248" t="n"/>
      <c r="M805" s="248" t="n"/>
      <c r="N805" s="248" t="n"/>
      <c r="O805" s="248" t="n"/>
      <c r="P805" s="248" t="n"/>
    </row>
    <row r="806" ht="15.75" customHeight="1">
      <c r="K806" s="248" t="n"/>
      <c r="L806" s="248" t="n"/>
      <c r="M806" s="248" t="n"/>
      <c r="N806" s="248" t="n"/>
      <c r="O806" s="248" t="n"/>
      <c r="P806" s="248" t="n"/>
    </row>
    <row r="807" ht="15.75" customHeight="1">
      <c r="K807" s="248" t="n"/>
      <c r="L807" s="248" t="n"/>
      <c r="M807" s="248" t="n"/>
      <c r="N807" s="248" t="n"/>
      <c r="O807" s="248" t="n"/>
      <c r="P807" s="248" t="n"/>
    </row>
    <row r="808" ht="15.75" customHeight="1">
      <c r="K808" s="248" t="n"/>
      <c r="L808" s="248" t="n"/>
      <c r="M808" s="248" t="n"/>
      <c r="N808" s="248" t="n"/>
      <c r="O808" s="248" t="n"/>
      <c r="P808" s="248" t="n"/>
    </row>
    <row r="809" ht="15.75" customHeight="1">
      <c r="K809" s="248" t="n"/>
      <c r="L809" s="248" t="n"/>
      <c r="M809" s="248" t="n"/>
      <c r="N809" s="248" t="n"/>
      <c r="O809" s="248" t="n"/>
      <c r="P809" s="248" t="n"/>
    </row>
    <row r="810" ht="15.75" customHeight="1">
      <c r="K810" s="248" t="n"/>
      <c r="L810" s="248" t="n"/>
      <c r="M810" s="248" t="n"/>
      <c r="N810" s="248" t="n"/>
      <c r="O810" s="248" t="n"/>
      <c r="P810" s="248" t="n"/>
    </row>
    <row r="811" ht="15.75" customHeight="1">
      <c r="K811" s="248" t="n"/>
      <c r="L811" s="248" t="n"/>
      <c r="M811" s="248" t="n"/>
      <c r="N811" s="248" t="n"/>
      <c r="O811" s="248" t="n"/>
      <c r="P811" s="248" t="n"/>
    </row>
    <row r="812" ht="15.75" customHeight="1">
      <c r="K812" s="248" t="n"/>
      <c r="L812" s="248" t="n"/>
      <c r="M812" s="248" t="n"/>
      <c r="N812" s="248" t="n"/>
      <c r="O812" s="248" t="n"/>
      <c r="P812" s="248" t="n"/>
    </row>
    <row r="813" ht="15.75" customHeight="1">
      <c r="K813" s="248" t="n"/>
      <c r="L813" s="248" t="n"/>
      <c r="M813" s="248" t="n"/>
      <c r="N813" s="248" t="n"/>
      <c r="O813" s="248" t="n"/>
      <c r="P813" s="248" t="n"/>
    </row>
    <row r="814" ht="15.75" customHeight="1">
      <c r="K814" s="248" t="n"/>
      <c r="L814" s="248" t="n"/>
      <c r="M814" s="248" t="n"/>
      <c r="N814" s="248" t="n"/>
      <c r="O814" s="248" t="n"/>
      <c r="P814" s="248" t="n"/>
    </row>
    <row r="815" ht="15.75" customHeight="1">
      <c r="K815" s="248" t="n"/>
      <c r="L815" s="248" t="n"/>
      <c r="M815" s="248" t="n"/>
      <c r="N815" s="248" t="n"/>
      <c r="O815" s="248" t="n"/>
      <c r="P815" s="248" t="n"/>
    </row>
    <row r="816" ht="15.75" customHeight="1">
      <c r="K816" s="248" t="n"/>
      <c r="L816" s="248" t="n"/>
      <c r="M816" s="248" t="n"/>
      <c r="N816" s="248" t="n"/>
      <c r="O816" s="248" t="n"/>
      <c r="P816" s="248" t="n"/>
    </row>
    <row r="817" ht="15.75" customHeight="1">
      <c r="K817" s="248" t="n"/>
      <c r="L817" s="248" t="n"/>
      <c r="M817" s="248" t="n"/>
      <c r="N817" s="248" t="n"/>
      <c r="O817" s="248" t="n"/>
      <c r="P817" s="248" t="n"/>
    </row>
    <row r="818" ht="15.75" customHeight="1">
      <c r="K818" s="248" t="n"/>
      <c r="L818" s="248" t="n"/>
      <c r="M818" s="248" t="n"/>
      <c r="N818" s="248" t="n"/>
      <c r="O818" s="248" t="n"/>
      <c r="P818" s="248" t="n"/>
    </row>
    <row r="819" ht="15.75" customHeight="1">
      <c r="K819" s="248" t="n"/>
      <c r="L819" s="248" t="n"/>
      <c r="M819" s="248" t="n"/>
      <c r="N819" s="248" t="n"/>
      <c r="O819" s="248" t="n"/>
      <c r="P819" s="248" t="n"/>
    </row>
    <row r="820" ht="15.75" customHeight="1">
      <c r="K820" s="248" t="n"/>
      <c r="L820" s="248" t="n"/>
      <c r="M820" s="248" t="n"/>
      <c r="N820" s="248" t="n"/>
      <c r="O820" s="248" t="n"/>
      <c r="P820" s="248" t="n"/>
    </row>
    <row r="821" ht="15.75" customHeight="1">
      <c r="K821" s="248" t="n"/>
      <c r="L821" s="248" t="n"/>
      <c r="M821" s="248" t="n"/>
      <c r="N821" s="248" t="n"/>
      <c r="O821" s="248" t="n"/>
      <c r="P821" s="248" t="n"/>
    </row>
    <row r="822" ht="15.75" customHeight="1">
      <c r="K822" s="248" t="n"/>
      <c r="L822" s="248" t="n"/>
      <c r="M822" s="248" t="n"/>
      <c r="N822" s="248" t="n"/>
      <c r="O822" s="248" t="n"/>
      <c r="P822" s="248" t="n"/>
    </row>
    <row r="823" ht="15.75" customHeight="1">
      <c r="K823" s="248" t="n"/>
      <c r="L823" s="248" t="n"/>
      <c r="M823" s="248" t="n"/>
      <c r="N823" s="248" t="n"/>
      <c r="O823" s="248" t="n"/>
      <c r="P823" s="248" t="n"/>
    </row>
    <row r="824" ht="15.75" customHeight="1">
      <c r="K824" s="248" t="n"/>
      <c r="L824" s="248" t="n"/>
      <c r="M824" s="248" t="n"/>
      <c r="N824" s="248" t="n"/>
      <c r="O824" s="248" t="n"/>
      <c r="P824" s="248" t="n"/>
    </row>
    <row r="825" ht="15.75" customHeight="1">
      <c r="K825" s="248" t="n"/>
      <c r="L825" s="248" t="n"/>
      <c r="M825" s="248" t="n"/>
      <c r="N825" s="248" t="n"/>
      <c r="O825" s="248" t="n"/>
      <c r="P825" s="248" t="n"/>
    </row>
    <row r="826" ht="15.75" customHeight="1">
      <c r="K826" s="248" t="n"/>
      <c r="L826" s="248" t="n"/>
      <c r="M826" s="248" t="n"/>
      <c r="N826" s="248" t="n"/>
      <c r="O826" s="248" t="n"/>
      <c r="P826" s="248" t="n"/>
    </row>
    <row r="827" ht="15.75" customHeight="1">
      <c r="K827" s="248" t="n"/>
      <c r="L827" s="248" t="n"/>
      <c r="M827" s="248" t="n"/>
      <c r="N827" s="248" t="n"/>
      <c r="O827" s="248" t="n"/>
      <c r="P827" s="248" t="n"/>
    </row>
    <row r="828" ht="15.75" customHeight="1">
      <c r="K828" s="248" t="n"/>
      <c r="L828" s="248" t="n"/>
      <c r="M828" s="248" t="n"/>
      <c r="N828" s="248" t="n"/>
      <c r="O828" s="248" t="n"/>
      <c r="P828" s="248" t="n"/>
    </row>
    <row r="829" ht="15.75" customHeight="1">
      <c r="K829" s="248" t="n"/>
      <c r="L829" s="248" t="n"/>
      <c r="M829" s="248" t="n"/>
      <c r="N829" s="248" t="n"/>
      <c r="O829" s="248" t="n"/>
      <c r="P829" s="248" t="n"/>
    </row>
    <row r="830" ht="15.75" customHeight="1">
      <c r="K830" s="248" t="n"/>
      <c r="L830" s="248" t="n"/>
      <c r="M830" s="248" t="n"/>
      <c r="N830" s="248" t="n"/>
      <c r="O830" s="248" t="n"/>
      <c r="P830" s="248" t="n"/>
    </row>
    <row r="831" ht="15.75" customHeight="1">
      <c r="K831" s="248" t="n"/>
      <c r="L831" s="248" t="n"/>
      <c r="M831" s="248" t="n"/>
      <c r="N831" s="248" t="n"/>
      <c r="O831" s="248" t="n"/>
      <c r="P831" s="248" t="n"/>
    </row>
    <row r="832" ht="15.75" customHeight="1">
      <c r="K832" s="248" t="n"/>
      <c r="L832" s="248" t="n"/>
      <c r="M832" s="248" t="n"/>
      <c r="N832" s="248" t="n"/>
      <c r="O832" s="248" t="n"/>
      <c r="P832" s="248" t="n"/>
    </row>
    <row r="833" ht="15.75" customHeight="1">
      <c r="K833" s="248" t="n"/>
      <c r="L833" s="248" t="n"/>
      <c r="M833" s="248" t="n"/>
      <c r="N833" s="248" t="n"/>
      <c r="O833" s="248" t="n"/>
      <c r="P833" s="248" t="n"/>
    </row>
    <row r="834" ht="15.75" customHeight="1">
      <c r="K834" s="248" t="n"/>
      <c r="L834" s="248" t="n"/>
      <c r="M834" s="248" t="n"/>
      <c r="N834" s="248" t="n"/>
      <c r="O834" s="248" t="n"/>
      <c r="P834" s="248" t="n"/>
    </row>
    <row r="835" ht="15.75" customHeight="1">
      <c r="K835" s="248" t="n"/>
      <c r="L835" s="248" t="n"/>
      <c r="M835" s="248" t="n"/>
      <c r="N835" s="248" t="n"/>
      <c r="O835" s="248" t="n"/>
      <c r="P835" s="248" t="n"/>
    </row>
    <row r="836" ht="15.75" customHeight="1">
      <c r="K836" s="248" t="n"/>
      <c r="L836" s="248" t="n"/>
      <c r="M836" s="248" t="n"/>
      <c r="N836" s="248" t="n"/>
      <c r="O836" s="248" t="n"/>
      <c r="P836" s="248" t="n"/>
    </row>
    <row r="837" ht="15.75" customHeight="1">
      <c r="K837" s="248" t="n"/>
      <c r="L837" s="248" t="n"/>
      <c r="M837" s="248" t="n"/>
      <c r="N837" s="248" t="n"/>
      <c r="O837" s="248" t="n"/>
      <c r="P837" s="248" t="n"/>
    </row>
    <row r="838" ht="15.75" customHeight="1">
      <c r="K838" s="248" t="n"/>
      <c r="L838" s="248" t="n"/>
      <c r="M838" s="248" t="n"/>
      <c r="N838" s="248" t="n"/>
      <c r="O838" s="248" t="n"/>
      <c r="P838" s="248" t="n"/>
    </row>
    <row r="839" ht="15.75" customHeight="1">
      <c r="K839" s="248" t="n"/>
      <c r="L839" s="248" t="n"/>
      <c r="M839" s="248" t="n"/>
      <c r="N839" s="248" t="n"/>
      <c r="O839" s="248" t="n"/>
      <c r="P839" s="248" t="n"/>
    </row>
    <row r="840" ht="15.75" customHeight="1">
      <c r="K840" s="248" t="n"/>
      <c r="L840" s="248" t="n"/>
      <c r="M840" s="248" t="n"/>
      <c r="N840" s="248" t="n"/>
      <c r="O840" s="248" t="n"/>
      <c r="P840" s="248" t="n"/>
    </row>
    <row r="841" ht="15.75" customHeight="1">
      <c r="K841" s="248" t="n"/>
      <c r="L841" s="248" t="n"/>
      <c r="M841" s="248" t="n"/>
      <c r="N841" s="248" t="n"/>
      <c r="O841" s="248" t="n"/>
      <c r="P841" s="248" t="n"/>
    </row>
    <row r="842" ht="15.75" customHeight="1">
      <c r="K842" s="248" t="n"/>
      <c r="L842" s="248" t="n"/>
      <c r="M842" s="248" t="n"/>
      <c r="N842" s="248" t="n"/>
      <c r="O842" s="248" t="n"/>
      <c r="P842" s="248" t="n"/>
    </row>
    <row r="843" ht="15.75" customHeight="1">
      <c r="K843" s="248" t="n"/>
      <c r="L843" s="248" t="n"/>
      <c r="M843" s="248" t="n"/>
      <c r="N843" s="248" t="n"/>
      <c r="O843" s="248" t="n"/>
      <c r="P843" s="248" t="n"/>
    </row>
    <row r="844" ht="15.75" customHeight="1">
      <c r="K844" s="248" t="n"/>
      <c r="L844" s="248" t="n"/>
      <c r="M844" s="248" t="n"/>
      <c r="N844" s="248" t="n"/>
      <c r="O844" s="248" t="n"/>
      <c r="P844" s="248" t="n"/>
    </row>
    <row r="845" ht="15.75" customHeight="1">
      <c r="K845" s="248" t="n"/>
      <c r="L845" s="248" t="n"/>
      <c r="M845" s="248" t="n"/>
      <c r="N845" s="248" t="n"/>
      <c r="O845" s="248" t="n"/>
      <c r="P845" s="248" t="n"/>
    </row>
    <row r="846" ht="15.75" customHeight="1">
      <c r="K846" s="248" t="n"/>
      <c r="L846" s="248" t="n"/>
      <c r="M846" s="248" t="n"/>
      <c r="N846" s="248" t="n"/>
      <c r="O846" s="248" t="n"/>
      <c r="P846" s="248" t="n"/>
    </row>
    <row r="847" ht="15.75" customHeight="1">
      <c r="K847" s="248" t="n"/>
      <c r="L847" s="248" t="n"/>
      <c r="M847" s="248" t="n"/>
      <c r="N847" s="248" t="n"/>
      <c r="O847" s="248" t="n"/>
      <c r="P847" s="248" t="n"/>
    </row>
    <row r="848" ht="15.75" customHeight="1">
      <c r="K848" s="248" t="n"/>
      <c r="L848" s="248" t="n"/>
      <c r="M848" s="248" t="n"/>
      <c r="N848" s="248" t="n"/>
      <c r="O848" s="248" t="n"/>
      <c r="P848" s="248" t="n"/>
    </row>
    <row r="849" ht="15.75" customHeight="1">
      <c r="K849" s="248" t="n"/>
      <c r="L849" s="248" t="n"/>
      <c r="M849" s="248" t="n"/>
      <c r="N849" s="248" t="n"/>
      <c r="O849" s="248" t="n"/>
      <c r="P849" s="248" t="n"/>
    </row>
    <row r="850" ht="15.75" customHeight="1">
      <c r="K850" s="248" t="n"/>
      <c r="L850" s="248" t="n"/>
      <c r="M850" s="248" t="n"/>
      <c r="N850" s="248" t="n"/>
      <c r="O850" s="248" t="n"/>
      <c r="P850" s="248" t="n"/>
    </row>
    <row r="851" ht="15.75" customHeight="1">
      <c r="K851" s="248" t="n"/>
      <c r="L851" s="248" t="n"/>
      <c r="M851" s="248" t="n"/>
      <c r="N851" s="248" t="n"/>
      <c r="O851" s="248" t="n"/>
      <c r="P851" s="248" t="n"/>
    </row>
    <row r="852" ht="15.75" customHeight="1">
      <c r="K852" s="248" t="n"/>
      <c r="L852" s="248" t="n"/>
      <c r="M852" s="248" t="n"/>
      <c r="N852" s="248" t="n"/>
      <c r="O852" s="248" t="n"/>
      <c r="P852" s="248" t="n"/>
    </row>
    <row r="853" ht="15.75" customHeight="1">
      <c r="K853" s="248" t="n"/>
      <c r="L853" s="248" t="n"/>
      <c r="M853" s="248" t="n"/>
      <c r="N853" s="248" t="n"/>
      <c r="O853" s="248" t="n"/>
      <c r="P853" s="248" t="n"/>
    </row>
    <row r="854" ht="15.75" customHeight="1">
      <c r="K854" s="248" t="n"/>
      <c r="L854" s="248" t="n"/>
      <c r="M854" s="248" t="n"/>
      <c r="N854" s="248" t="n"/>
      <c r="O854" s="248" t="n"/>
      <c r="P854" s="248" t="n"/>
    </row>
    <row r="855" ht="15.75" customHeight="1">
      <c r="K855" s="248" t="n"/>
      <c r="L855" s="248" t="n"/>
      <c r="M855" s="248" t="n"/>
      <c r="N855" s="248" t="n"/>
      <c r="O855" s="248" t="n"/>
      <c r="P855" s="248" t="n"/>
    </row>
    <row r="856" ht="15.75" customHeight="1">
      <c r="K856" s="248" t="n"/>
      <c r="L856" s="248" t="n"/>
      <c r="M856" s="248" t="n"/>
      <c r="N856" s="248" t="n"/>
      <c r="O856" s="248" t="n"/>
      <c r="P856" s="248" t="n"/>
    </row>
    <row r="857" ht="15.75" customHeight="1">
      <c r="K857" s="248" t="n"/>
      <c r="L857" s="248" t="n"/>
      <c r="M857" s="248" t="n"/>
      <c r="N857" s="248" t="n"/>
      <c r="O857" s="248" t="n"/>
      <c r="P857" s="248" t="n"/>
    </row>
    <row r="858" ht="15.75" customHeight="1">
      <c r="K858" s="248" t="n"/>
      <c r="L858" s="248" t="n"/>
      <c r="M858" s="248" t="n"/>
      <c r="N858" s="248" t="n"/>
      <c r="O858" s="248" t="n"/>
      <c r="P858" s="248" t="n"/>
    </row>
    <row r="859" ht="15.75" customHeight="1">
      <c r="K859" s="248" t="n"/>
      <c r="L859" s="248" t="n"/>
      <c r="M859" s="248" t="n"/>
      <c r="N859" s="248" t="n"/>
      <c r="O859" s="248" t="n"/>
      <c r="P859" s="248" t="n"/>
    </row>
    <row r="860" ht="15.75" customHeight="1">
      <c r="K860" s="248" t="n"/>
      <c r="L860" s="248" t="n"/>
      <c r="M860" s="248" t="n"/>
      <c r="N860" s="248" t="n"/>
      <c r="O860" s="248" t="n"/>
      <c r="P860" s="248" t="n"/>
    </row>
    <row r="861" ht="15.75" customHeight="1">
      <c r="K861" s="248" t="n"/>
      <c r="L861" s="248" t="n"/>
      <c r="M861" s="248" t="n"/>
      <c r="N861" s="248" t="n"/>
      <c r="O861" s="248" t="n"/>
      <c r="P861" s="248" t="n"/>
    </row>
    <row r="862" ht="15.75" customHeight="1">
      <c r="K862" s="248" t="n"/>
      <c r="L862" s="248" t="n"/>
      <c r="M862" s="248" t="n"/>
      <c r="N862" s="248" t="n"/>
      <c r="O862" s="248" t="n"/>
      <c r="P862" s="248" t="n"/>
    </row>
    <row r="863" ht="15.75" customHeight="1">
      <c r="K863" s="248" t="n"/>
      <c r="L863" s="248" t="n"/>
      <c r="M863" s="248" t="n"/>
      <c r="N863" s="248" t="n"/>
      <c r="O863" s="248" t="n"/>
      <c r="P863" s="248" t="n"/>
    </row>
    <row r="864" ht="15.75" customHeight="1">
      <c r="K864" s="248" t="n"/>
      <c r="L864" s="248" t="n"/>
      <c r="M864" s="248" t="n"/>
      <c r="N864" s="248" t="n"/>
      <c r="O864" s="248" t="n"/>
      <c r="P864" s="248" t="n"/>
    </row>
    <row r="865" ht="15.75" customHeight="1">
      <c r="K865" s="248" t="n"/>
      <c r="L865" s="248" t="n"/>
      <c r="M865" s="248" t="n"/>
      <c r="N865" s="248" t="n"/>
      <c r="O865" s="248" t="n"/>
      <c r="P865" s="248" t="n"/>
    </row>
    <row r="866" ht="15.75" customHeight="1">
      <c r="K866" s="248" t="n"/>
      <c r="L866" s="248" t="n"/>
      <c r="M866" s="248" t="n"/>
      <c r="N866" s="248" t="n"/>
      <c r="O866" s="248" t="n"/>
      <c r="P866" s="248" t="n"/>
    </row>
    <row r="867" ht="15.75" customHeight="1">
      <c r="K867" s="248" t="n"/>
      <c r="L867" s="248" t="n"/>
      <c r="M867" s="248" t="n"/>
      <c r="N867" s="248" t="n"/>
      <c r="O867" s="248" t="n"/>
      <c r="P867" s="248" t="n"/>
    </row>
    <row r="868" ht="15.75" customHeight="1">
      <c r="K868" s="248" t="n"/>
      <c r="L868" s="248" t="n"/>
      <c r="M868" s="248" t="n"/>
      <c r="N868" s="248" t="n"/>
      <c r="O868" s="248" t="n"/>
      <c r="P868" s="248" t="n"/>
    </row>
    <row r="869" ht="15.75" customHeight="1">
      <c r="K869" s="248" t="n"/>
      <c r="L869" s="248" t="n"/>
      <c r="M869" s="248" t="n"/>
      <c r="N869" s="248" t="n"/>
      <c r="O869" s="248" t="n"/>
      <c r="P869" s="248" t="n"/>
    </row>
    <row r="870" ht="15.75" customHeight="1">
      <c r="K870" s="248" t="n"/>
      <c r="L870" s="248" t="n"/>
      <c r="M870" s="248" t="n"/>
      <c r="N870" s="248" t="n"/>
      <c r="O870" s="248" t="n"/>
      <c r="P870" s="248" t="n"/>
    </row>
    <row r="871" ht="15.75" customHeight="1">
      <c r="K871" s="248" t="n"/>
      <c r="L871" s="248" t="n"/>
      <c r="M871" s="248" t="n"/>
      <c r="N871" s="248" t="n"/>
      <c r="O871" s="248" t="n"/>
      <c r="P871" s="248" t="n"/>
    </row>
    <row r="872" ht="15.75" customHeight="1">
      <c r="K872" s="248" t="n"/>
      <c r="L872" s="248" t="n"/>
      <c r="M872" s="248" t="n"/>
      <c r="N872" s="248" t="n"/>
      <c r="O872" s="248" t="n"/>
      <c r="P872" s="248" t="n"/>
    </row>
    <row r="873" ht="15.75" customHeight="1">
      <c r="K873" s="248" t="n"/>
      <c r="L873" s="248" t="n"/>
      <c r="M873" s="248" t="n"/>
      <c r="N873" s="248" t="n"/>
      <c r="O873" s="248" t="n"/>
      <c r="P873" s="248" t="n"/>
    </row>
    <row r="874" ht="15.75" customHeight="1">
      <c r="K874" s="248" t="n"/>
      <c r="L874" s="248" t="n"/>
      <c r="M874" s="248" t="n"/>
      <c r="N874" s="248" t="n"/>
      <c r="O874" s="248" t="n"/>
      <c r="P874" s="248" t="n"/>
    </row>
    <row r="875" ht="15.75" customHeight="1">
      <c r="K875" s="248" t="n"/>
      <c r="L875" s="248" t="n"/>
      <c r="M875" s="248" t="n"/>
      <c r="N875" s="248" t="n"/>
      <c r="O875" s="248" t="n"/>
      <c r="P875" s="248" t="n"/>
    </row>
    <row r="876" ht="15.75" customHeight="1">
      <c r="K876" s="248" t="n"/>
      <c r="L876" s="248" t="n"/>
      <c r="M876" s="248" t="n"/>
      <c r="N876" s="248" t="n"/>
      <c r="O876" s="248" t="n"/>
      <c r="P876" s="248" t="n"/>
    </row>
    <row r="877" ht="15.75" customHeight="1">
      <c r="K877" s="248" t="n"/>
      <c r="L877" s="248" t="n"/>
      <c r="M877" s="248" t="n"/>
      <c r="N877" s="248" t="n"/>
      <c r="O877" s="248" t="n"/>
      <c r="P877" s="248" t="n"/>
    </row>
    <row r="878" ht="15.75" customHeight="1">
      <c r="K878" s="248" t="n"/>
      <c r="L878" s="248" t="n"/>
      <c r="M878" s="248" t="n"/>
      <c r="N878" s="248" t="n"/>
      <c r="O878" s="248" t="n"/>
      <c r="P878" s="248" t="n"/>
    </row>
    <row r="879" ht="15.75" customHeight="1">
      <c r="K879" s="248" t="n"/>
      <c r="L879" s="248" t="n"/>
      <c r="M879" s="248" t="n"/>
      <c r="N879" s="248" t="n"/>
      <c r="O879" s="248" t="n"/>
      <c r="P879" s="248" t="n"/>
    </row>
    <row r="880" ht="15.75" customHeight="1">
      <c r="K880" s="248" t="n"/>
      <c r="L880" s="248" t="n"/>
      <c r="M880" s="248" t="n"/>
      <c r="N880" s="248" t="n"/>
      <c r="O880" s="248" t="n"/>
      <c r="P880" s="248" t="n"/>
    </row>
    <row r="881" ht="15.75" customHeight="1">
      <c r="K881" s="248" t="n"/>
      <c r="L881" s="248" t="n"/>
      <c r="M881" s="248" t="n"/>
      <c r="N881" s="248" t="n"/>
      <c r="O881" s="248" t="n"/>
      <c r="P881" s="248" t="n"/>
    </row>
    <row r="882" ht="15.75" customHeight="1">
      <c r="K882" s="248" t="n"/>
      <c r="L882" s="248" t="n"/>
      <c r="M882" s="248" t="n"/>
      <c r="N882" s="248" t="n"/>
      <c r="O882" s="248" t="n"/>
      <c r="P882" s="248" t="n"/>
    </row>
    <row r="883" ht="15.75" customHeight="1">
      <c r="K883" s="248" t="n"/>
      <c r="L883" s="248" t="n"/>
      <c r="M883" s="248" t="n"/>
      <c r="N883" s="248" t="n"/>
      <c r="O883" s="248" t="n"/>
      <c r="P883" s="248" t="n"/>
    </row>
    <row r="884" ht="15.75" customHeight="1">
      <c r="K884" s="248" t="n"/>
      <c r="L884" s="248" t="n"/>
      <c r="M884" s="248" t="n"/>
      <c r="N884" s="248" t="n"/>
      <c r="O884" s="248" t="n"/>
      <c r="P884" s="248" t="n"/>
    </row>
    <row r="885" ht="15.75" customHeight="1">
      <c r="K885" s="248" t="n"/>
      <c r="L885" s="248" t="n"/>
      <c r="M885" s="248" t="n"/>
      <c r="N885" s="248" t="n"/>
      <c r="O885" s="248" t="n"/>
      <c r="P885" s="248" t="n"/>
    </row>
    <row r="886" ht="15.75" customHeight="1">
      <c r="K886" s="248" t="n"/>
      <c r="L886" s="248" t="n"/>
      <c r="M886" s="248" t="n"/>
      <c r="N886" s="248" t="n"/>
      <c r="O886" s="248" t="n"/>
      <c r="P886" s="248" t="n"/>
    </row>
    <row r="887" ht="15.75" customHeight="1">
      <c r="K887" s="248" t="n"/>
      <c r="L887" s="248" t="n"/>
      <c r="M887" s="248" t="n"/>
      <c r="N887" s="248" t="n"/>
      <c r="O887" s="248" t="n"/>
      <c r="P887" s="248" t="n"/>
    </row>
    <row r="888" ht="15.75" customHeight="1">
      <c r="K888" s="248" t="n"/>
      <c r="L888" s="248" t="n"/>
      <c r="M888" s="248" t="n"/>
      <c r="N888" s="248" t="n"/>
      <c r="O888" s="248" t="n"/>
      <c r="P888" s="248" t="n"/>
    </row>
    <row r="889" ht="15.75" customHeight="1">
      <c r="K889" s="248" t="n"/>
      <c r="L889" s="248" t="n"/>
      <c r="M889" s="248" t="n"/>
      <c r="N889" s="248" t="n"/>
      <c r="O889" s="248" t="n"/>
      <c r="P889" s="248" t="n"/>
    </row>
    <row r="890" ht="15.75" customHeight="1">
      <c r="K890" s="248" t="n"/>
      <c r="L890" s="248" t="n"/>
      <c r="M890" s="248" t="n"/>
      <c r="N890" s="248" t="n"/>
      <c r="O890" s="248" t="n"/>
      <c r="P890" s="248" t="n"/>
    </row>
    <row r="891" ht="15.75" customHeight="1">
      <c r="K891" s="248" t="n"/>
      <c r="L891" s="248" t="n"/>
      <c r="M891" s="248" t="n"/>
      <c r="N891" s="248" t="n"/>
      <c r="O891" s="248" t="n"/>
      <c r="P891" s="248" t="n"/>
    </row>
    <row r="892" ht="15.75" customHeight="1">
      <c r="K892" s="248" t="n"/>
      <c r="L892" s="248" t="n"/>
      <c r="M892" s="248" t="n"/>
      <c r="N892" s="248" t="n"/>
      <c r="O892" s="248" t="n"/>
      <c r="P892" s="248" t="n"/>
    </row>
    <row r="893" ht="15.75" customHeight="1">
      <c r="K893" s="248" t="n"/>
      <c r="L893" s="248" t="n"/>
      <c r="M893" s="248" t="n"/>
      <c r="N893" s="248" t="n"/>
      <c r="O893" s="248" t="n"/>
      <c r="P893" s="248" t="n"/>
    </row>
    <row r="894" ht="15.75" customHeight="1">
      <c r="K894" s="248" t="n"/>
      <c r="L894" s="248" t="n"/>
      <c r="M894" s="248" t="n"/>
      <c r="N894" s="248" t="n"/>
      <c r="O894" s="248" t="n"/>
      <c r="P894" s="248" t="n"/>
    </row>
    <row r="895" ht="15.75" customHeight="1">
      <c r="K895" s="248" t="n"/>
      <c r="L895" s="248" t="n"/>
      <c r="M895" s="248" t="n"/>
      <c r="N895" s="248" t="n"/>
      <c r="O895" s="248" t="n"/>
      <c r="P895" s="248" t="n"/>
    </row>
    <row r="896" ht="15.75" customHeight="1">
      <c r="K896" s="248" t="n"/>
      <c r="L896" s="248" t="n"/>
      <c r="M896" s="248" t="n"/>
      <c r="N896" s="248" t="n"/>
      <c r="O896" s="248" t="n"/>
      <c r="P896" s="248" t="n"/>
    </row>
    <row r="897" ht="15.75" customHeight="1">
      <c r="K897" s="248" t="n"/>
      <c r="L897" s="248" t="n"/>
      <c r="M897" s="248" t="n"/>
      <c r="N897" s="248" t="n"/>
      <c r="O897" s="248" t="n"/>
      <c r="P897" s="248" t="n"/>
    </row>
    <row r="898" ht="15.75" customHeight="1">
      <c r="K898" s="248" t="n"/>
      <c r="L898" s="248" t="n"/>
      <c r="M898" s="248" t="n"/>
      <c r="N898" s="248" t="n"/>
      <c r="O898" s="248" t="n"/>
      <c r="P898" s="248" t="n"/>
    </row>
    <row r="899" ht="15.75" customHeight="1">
      <c r="K899" s="248" t="n"/>
      <c r="L899" s="248" t="n"/>
      <c r="M899" s="248" t="n"/>
      <c r="N899" s="248" t="n"/>
      <c r="O899" s="248" t="n"/>
      <c r="P899" s="248" t="n"/>
    </row>
    <row r="900" ht="15.75" customHeight="1">
      <c r="K900" s="248" t="n"/>
      <c r="L900" s="248" t="n"/>
      <c r="M900" s="248" t="n"/>
      <c r="N900" s="248" t="n"/>
      <c r="O900" s="248" t="n"/>
      <c r="P900" s="248" t="n"/>
    </row>
    <row r="901" ht="15.75" customHeight="1">
      <c r="K901" s="248" t="n"/>
      <c r="L901" s="248" t="n"/>
      <c r="M901" s="248" t="n"/>
      <c r="N901" s="248" t="n"/>
      <c r="O901" s="248" t="n"/>
      <c r="P901" s="248" t="n"/>
    </row>
    <row r="902" ht="15.75" customHeight="1">
      <c r="K902" s="248" t="n"/>
      <c r="L902" s="248" t="n"/>
      <c r="M902" s="248" t="n"/>
      <c r="N902" s="248" t="n"/>
      <c r="O902" s="248" t="n"/>
      <c r="P902" s="248" t="n"/>
    </row>
    <row r="903" ht="15.75" customHeight="1">
      <c r="K903" s="248" t="n"/>
      <c r="L903" s="248" t="n"/>
      <c r="M903" s="248" t="n"/>
      <c r="N903" s="248" t="n"/>
      <c r="O903" s="248" t="n"/>
      <c r="P903" s="248" t="n"/>
    </row>
    <row r="904" ht="15.75" customHeight="1">
      <c r="K904" s="248" t="n"/>
      <c r="L904" s="248" t="n"/>
      <c r="M904" s="248" t="n"/>
      <c r="N904" s="248" t="n"/>
      <c r="O904" s="248" t="n"/>
      <c r="P904" s="248" t="n"/>
    </row>
    <row r="905" ht="15.75" customHeight="1">
      <c r="K905" s="248" t="n"/>
      <c r="L905" s="248" t="n"/>
      <c r="M905" s="248" t="n"/>
      <c r="N905" s="248" t="n"/>
      <c r="O905" s="248" t="n"/>
      <c r="P905" s="248" t="n"/>
    </row>
    <row r="906" ht="15.75" customHeight="1">
      <c r="K906" s="248" t="n"/>
      <c r="L906" s="248" t="n"/>
      <c r="M906" s="248" t="n"/>
      <c r="N906" s="248" t="n"/>
      <c r="O906" s="248" t="n"/>
      <c r="P906" s="248" t="n"/>
    </row>
    <row r="907" ht="15.75" customHeight="1">
      <c r="K907" s="248" t="n"/>
      <c r="L907" s="248" t="n"/>
      <c r="M907" s="248" t="n"/>
      <c r="N907" s="248" t="n"/>
      <c r="O907" s="248" t="n"/>
      <c r="P907" s="248" t="n"/>
    </row>
    <row r="908" ht="15.75" customHeight="1">
      <c r="K908" s="248" t="n"/>
      <c r="L908" s="248" t="n"/>
      <c r="M908" s="248" t="n"/>
      <c r="N908" s="248" t="n"/>
      <c r="O908" s="248" t="n"/>
      <c r="P908" s="248" t="n"/>
    </row>
    <row r="909" ht="15.75" customHeight="1">
      <c r="K909" s="248" t="n"/>
      <c r="L909" s="248" t="n"/>
      <c r="M909" s="248" t="n"/>
      <c r="N909" s="248" t="n"/>
      <c r="O909" s="248" t="n"/>
      <c r="P909" s="248" t="n"/>
    </row>
    <row r="910" ht="15.75" customHeight="1">
      <c r="K910" s="248" t="n"/>
      <c r="L910" s="248" t="n"/>
      <c r="M910" s="248" t="n"/>
      <c r="N910" s="248" t="n"/>
      <c r="O910" s="248" t="n"/>
      <c r="P910" s="248" t="n"/>
    </row>
    <row r="911" ht="15.75" customHeight="1">
      <c r="K911" s="248" t="n"/>
      <c r="L911" s="248" t="n"/>
      <c r="M911" s="248" t="n"/>
      <c r="N911" s="248" t="n"/>
      <c r="O911" s="248" t="n"/>
      <c r="P911" s="248" t="n"/>
    </row>
    <row r="912" ht="15.75" customHeight="1">
      <c r="K912" s="248" t="n"/>
      <c r="L912" s="248" t="n"/>
      <c r="M912" s="248" t="n"/>
      <c r="N912" s="248" t="n"/>
      <c r="O912" s="248" t="n"/>
      <c r="P912" s="248" t="n"/>
    </row>
    <row r="913" ht="15.75" customHeight="1">
      <c r="K913" s="248" t="n"/>
      <c r="L913" s="248" t="n"/>
      <c r="M913" s="248" t="n"/>
      <c r="N913" s="248" t="n"/>
      <c r="O913" s="248" t="n"/>
      <c r="P913" s="248" t="n"/>
    </row>
    <row r="914" ht="15.75" customHeight="1">
      <c r="K914" s="248" t="n"/>
      <c r="L914" s="248" t="n"/>
      <c r="M914" s="248" t="n"/>
      <c r="N914" s="248" t="n"/>
      <c r="O914" s="248" t="n"/>
      <c r="P914" s="248" t="n"/>
    </row>
    <row r="915" ht="15.75" customHeight="1">
      <c r="K915" s="248" t="n"/>
      <c r="L915" s="248" t="n"/>
      <c r="M915" s="248" t="n"/>
      <c r="N915" s="248" t="n"/>
      <c r="O915" s="248" t="n"/>
      <c r="P915" s="248" t="n"/>
    </row>
    <row r="916" ht="15.75" customHeight="1">
      <c r="K916" s="248" t="n"/>
      <c r="L916" s="248" t="n"/>
      <c r="M916" s="248" t="n"/>
      <c r="N916" s="248" t="n"/>
      <c r="O916" s="248" t="n"/>
      <c r="P916" s="248" t="n"/>
    </row>
    <row r="917" ht="15.75" customHeight="1">
      <c r="K917" s="248" t="n"/>
      <c r="L917" s="248" t="n"/>
      <c r="M917" s="248" t="n"/>
      <c r="N917" s="248" t="n"/>
      <c r="O917" s="248" t="n"/>
      <c r="P917" s="248" t="n"/>
    </row>
    <row r="918" ht="15.75" customHeight="1">
      <c r="K918" s="248" t="n"/>
      <c r="L918" s="248" t="n"/>
      <c r="M918" s="248" t="n"/>
      <c r="N918" s="248" t="n"/>
      <c r="O918" s="248" t="n"/>
      <c r="P918" s="248" t="n"/>
    </row>
    <row r="919" ht="15.75" customHeight="1">
      <c r="K919" s="248" t="n"/>
      <c r="L919" s="248" t="n"/>
      <c r="M919" s="248" t="n"/>
      <c r="N919" s="248" t="n"/>
      <c r="O919" s="248" t="n"/>
      <c r="P919" s="248" t="n"/>
    </row>
    <row r="920" ht="15.75" customHeight="1">
      <c r="K920" s="248" t="n"/>
      <c r="L920" s="248" t="n"/>
      <c r="M920" s="248" t="n"/>
      <c r="N920" s="248" t="n"/>
      <c r="O920" s="248" t="n"/>
      <c r="P920" s="248" t="n"/>
    </row>
    <row r="921" ht="15.75" customHeight="1">
      <c r="K921" s="248" t="n"/>
      <c r="L921" s="248" t="n"/>
      <c r="M921" s="248" t="n"/>
      <c r="N921" s="248" t="n"/>
      <c r="O921" s="248" t="n"/>
      <c r="P921" s="248" t="n"/>
    </row>
    <row r="922" ht="15.75" customHeight="1">
      <c r="K922" s="248" t="n"/>
      <c r="L922" s="248" t="n"/>
      <c r="M922" s="248" t="n"/>
      <c r="N922" s="248" t="n"/>
      <c r="O922" s="248" t="n"/>
      <c r="P922" s="248" t="n"/>
    </row>
    <row r="923" ht="15.75" customHeight="1">
      <c r="K923" s="248" t="n"/>
      <c r="L923" s="248" t="n"/>
      <c r="M923" s="248" t="n"/>
      <c r="N923" s="248" t="n"/>
      <c r="O923" s="248" t="n"/>
      <c r="P923" s="248" t="n"/>
    </row>
    <row r="924" ht="15.75" customHeight="1">
      <c r="K924" s="248" t="n"/>
      <c r="L924" s="248" t="n"/>
      <c r="M924" s="248" t="n"/>
      <c r="N924" s="248" t="n"/>
      <c r="O924" s="248" t="n"/>
      <c r="P924" s="248" t="n"/>
    </row>
    <row r="925" ht="15.75" customHeight="1">
      <c r="K925" s="248" t="n"/>
      <c r="L925" s="248" t="n"/>
      <c r="M925" s="248" t="n"/>
      <c r="N925" s="248" t="n"/>
      <c r="O925" s="248" t="n"/>
      <c r="P925" s="248" t="n"/>
    </row>
    <row r="926" ht="15.75" customHeight="1">
      <c r="K926" s="248" t="n"/>
      <c r="L926" s="248" t="n"/>
      <c r="M926" s="248" t="n"/>
      <c r="N926" s="248" t="n"/>
      <c r="O926" s="248" t="n"/>
      <c r="P926" s="248" t="n"/>
    </row>
    <row r="927" ht="15.75" customHeight="1">
      <c r="K927" s="248" t="n"/>
      <c r="L927" s="248" t="n"/>
      <c r="M927" s="248" t="n"/>
      <c r="N927" s="248" t="n"/>
      <c r="O927" s="248" t="n"/>
      <c r="P927" s="248" t="n"/>
    </row>
    <row r="928" ht="15.75" customHeight="1">
      <c r="K928" s="248" t="n"/>
      <c r="L928" s="248" t="n"/>
      <c r="M928" s="248" t="n"/>
      <c r="N928" s="248" t="n"/>
      <c r="O928" s="248" t="n"/>
      <c r="P928" s="248" t="n"/>
    </row>
    <row r="929" ht="15.75" customHeight="1">
      <c r="K929" s="248" t="n"/>
      <c r="L929" s="248" t="n"/>
      <c r="M929" s="248" t="n"/>
      <c r="N929" s="248" t="n"/>
      <c r="O929" s="248" t="n"/>
      <c r="P929" s="248" t="n"/>
    </row>
    <row r="930" ht="15.75" customHeight="1">
      <c r="K930" s="248" t="n"/>
      <c r="L930" s="248" t="n"/>
      <c r="M930" s="248" t="n"/>
      <c r="N930" s="248" t="n"/>
      <c r="O930" s="248" t="n"/>
      <c r="P930" s="248" t="n"/>
    </row>
    <row r="931" ht="15.75" customHeight="1">
      <c r="K931" s="248" t="n"/>
      <c r="L931" s="248" t="n"/>
      <c r="M931" s="248" t="n"/>
      <c r="N931" s="248" t="n"/>
      <c r="O931" s="248" t="n"/>
      <c r="P931" s="248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Blanca</dc:creator>
  <dcterms:created xsi:type="dcterms:W3CDTF">2014-01-20T08:45:26Z</dcterms:created>
  <dcterms:modified xsi:type="dcterms:W3CDTF">2026-04-22T07:42:38Z</dcterms:modified>
  <cp:lastModifiedBy>Eli</cp:lastModifiedBy>
</cp:coreProperties>
</file>